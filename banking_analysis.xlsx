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22257906\Desktop\Nosipho\"/>
    </mc:Choice>
  </mc:AlternateContent>
  <xr:revisionPtr revIDLastSave="0" documentId="13_ncr:1_{5C7A8550-2793-4BAA-B852-810AD73F576E}" xr6:coauthVersionLast="47" xr6:coauthVersionMax="47" xr10:uidLastSave="{00000000-0000-0000-0000-000000000000}"/>
  <bookViews>
    <workbookView xWindow="-120" yWindow="-120" windowWidth="29040" windowHeight="15840" firstSheet="5" activeTab="5" xr2:uid="{4CDFC6C7-9950-4313-B486-843A85DAF64D}"/>
  </bookViews>
  <sheets>
    <sheet name="Trans" sheetId="5" state="hidden" r:id="rId1"/>
    <sheet name="ClientRecords" sheetId="4" state="hidden" r:id="rId2"/>
    <sheet name="Branches" sheetId="3" state="hidden" r:id="rId3"/>
    <sheet name="vw_Dashboard" sheetId="2" state="hidden" r:id="rId4"/>
    <sheet name="Pivot_Tables" sheetId="1" state="hidden" r:id="rId5"/>
    <sheet name="Dashboard" sheetId="6" r:id="rId6"/>
  </sheets>
  <definedNames>
    <definedName name="_xlcn.WorksheetConnection_Book1Branches1" hidden="1">Branches[]</definedName>
    <definedName name="_xlcn.WorksheetConnection_Book1ClientRecords1" hidden="1">ClientRecords[]</definedName>
    <definedName name="_xlcn.WorksheetConnection_Book1Trans1" hidden="1">Trans[]</definedName>
    <definedName name="ExternalData_1" localSheetId="3" hidden="1">vw_Dashboard!$A$1:$E$21</definedName>
    <definedName name="ExternalData_2" localSheetId="2" hidden="1">Branches!$A$1:$F$11</definedName>
    <definedName name="ExternalData_3" localSheetId="1" hidden="1">'ClientRecords'!$A$1:$I$13</definedName>
    <definedName name="ExternalData_4" localSheetId="0" hidden="1">Trans!$A$1:$G$21</definedName>
    <definedName name="Slicer_Account_Type">#N/A</definedName>
    <definedName name="Slicer_Branch_Name">#N/A</definedName>
    <definedName name="Slicer_City">#N/A</definedName>
    <definedName name="Slicer_Payment_method">#N/A</definedName>
    <definedName name="Slicer_Region">#N/A</definedName>
    <definedName name="Slicer_Transaction_Classification">#N/A</definedName>
  </definedNames>
  <calcPr calcId="191029"/>
  <pivotCaches>
    <pivotCache cacheId="28" r:id="rId7"/>
    <pivotCache cacheId="37" r:id="rId8"/>
    <pivotCache cacheId="40" r:id="rId9"/>
    <pivotCache cacheId="356" r:id="rId10"/>
    <pivotCache cacheId="358" r:id="rId11"/>
    <pivotCache cacheId="354" r:id="rId12"/>
    <pivotCache cacheId="361" r:id="rId13"/>
  </pivotCaches>
  <extLst>
    <ext xmlns:x14="http://schemas.microsoft.com/office/spreadsheetml/2009/9/main" uri="{876F7934-8845-4945-9796-88D515C7AA90}">
      <x14:pivotCaches>
        <pivotCache cacheId="17"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 name="Trans" connection="WorksheetConnection_Book1!Trans"/>
          <x15:modelTable id="ClientRecords" name="ClientRecords" connection="WorksheetConnection_Book1!ClientRecords"/>
          <x15:modelTable id="Branches" name="Branches" connection="WorksheetConnection_Book1!Branches"/>
        </x15:modelTables>
        <x15:modelRelationships>
          <x15:modelRelationship fromTable="ClientRecords" fromColumn="Branch_code" toTable="Branches" toColumn="Branch_Code"/>
          <x15:modelRelationship fromTable="Trans" fromColumn="Account_Number" toTable="ClientRecords" toColumn="Account_Number"/>
        </x15:modelRelationships>
        <x15:extLst>
          <ext xmlns:x16="http://schemas.microsoft.com/office/spreadsheetml/2014/11/main" uri="{9835A34E-60A6-4A7C-AAB8-D5F71C897F49}">
            <x16:modelTimeGroupings>
              <x16:modelTimeGrouping tableName="ClientRecords" columnName="Date_Opened" columnId="Date_Opened">
                <x16:calculatedTimeColumn columnName="Date_Opened (Year)" columnId="Date_Opened (Year)" contentType="years" isSelected="1"/>
                <x16:calculatedTimeColumn columnName="Date_Opened (Month Index)" columnId="Date_Opened (Month Index)" contentType="monthsindex" isSelected="1"/>
                <x16:calculatedTimeColumn columnName="Date_Opened (Month)" columnId="Date_Opened (Month)" contentType="months" isSelected="1"/>
              </x16:modelTimeGrouping>
            </x16:modelTimeGroupings>
          </ext>
        </x15:extLst>
      </x15:dataModel>
    </ext>
  </extLst>
</workbook>
</file>

<file path=xl/calcChain.xml><?xml version="1.0" encoding="utf-8"?>
<calcChain xmlns="http://schemas.openxmlformats.org/spreadsheetml/2006/main">
  <c r="Y24" i="6" l="1"/>
  <c r="Y15" i="6"/>
  <c r="Y22" i="6"/>
  <c r="Y18" i="6"/>
  <c r="Y14" i="6"/>
  <c r="Y2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911600-1E73-4167-BCD9-C1C141FD21BD}" keepAlive="1" name="Query - Branches" description="Connection to the 'Branches' query in the workbook." type="5" refreshedVersion="7" background="1" saveData="1">
    <dbPr connection="Provider=Microsoft.Mashup.OleDb.1;Data Source=$Workbook$;Location=Branches;Extended Properties=&quot;&quot;" command="SELECT * FROM [Branches]"/>
  </connection>
  <connection id="2" xr16:uid="{D7B8934F-B978-48EE-BCDE-38273C5706DD}" keepAlive="1" name="Query - ClientRecords" description="Connection to the 'ClientRecords' query in the workbook." type="5" refreshedVersion="7" background="1" saveData="1">
    <dbPr connection="Provider=Microsoft.Mashup.OleDb.1;Data Source=$Workbook$;Location=ClientRecords;Extended Properties=&quot;&quot;" command="SELECT * FROM [ClientRecords]"/>
  </connection>
  <connection id="3" xr16:uid="{1BAC96B6-6743-4DAD-9DE0-39F5C9206CEE}" keepAlive="1" name="Query - Trans" description="Connection to the 'Trans' query in the workbook." type="5" refreshedVersion="7" background="1" saveData="1">
    <dbPr connection="Provider=Microsoft.Mashup.OleDb.1;Data Source=$Workbook$;Location=Trans;Extended Properties=&quot;&quot;" command="SELECT * FROM [Trans]"/>
  </connection>
  <connection id="4" xr16:uid="{B3865F82-91E8-4C08-9197-C9FC22393C2D}" keepAlive="1" name="Query - vw_Dashboard" description="Connection to the 'vw_Dashboard' query in the workbook." type="5" refreshedVersion="7" background="1" saveData="1">
    <dbPr connection="Provider=Microsoft.Mashup.OleDb.1;Data Source=$Workbook$;Location=vw_Dashboard;Extended Properties=&quot;&quot;" command="SELECT * FROM [vw_Dashboard]"/>
  </connection>
  <connection id="5" xr16:uid="{6E0F82E5-04A2-4507-AADE-DBEACF634FF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ABA3BF4-31A4-407D-A8D8-32C3B43EA3CA}" name="WorksheetConnection_Book1!Branches" type="102" refreshedVersion="7" minRefreshableVersion="5">
    <extLst>
      <ext xmlns:x15="http://schemas.microsoft.com/office/spreadsheetml/2010/11/main" uri="{DE250136-89BD-433C-8126-D09CA5730AF9}">
        <x15:connection id="Branches" autoDelete="1">
          <x15:rangePr sourceName="_xlcn.WorksheetConnection_Book1Branches1"/>
        </x15:connection>
      </ext>
    </extLst>
  </connection>
  <connection id="7" xr16:uid="{7D2025A8-13C9-46BE-A23B-9DC249789048}" name="WorksheetConnection_Book1!ClientRecords" type="102" refreshedVersion="7" minRefreshableVersion="5">
    <extLst>
      <ext xmlns:x15="http://schemas.microsoft.com/office/spreadsheetml/2010/11/main" uri="{DE250136-89BD-433C-8126-D09CA5730AF9}">
        <x15:connection id="ClientRecords">
          <x15:rangePr sourceName="_xlcn.WorksheetConnection_Book1ClientRecords1"/>
        </x15:connection>
      </ext>
    </extLst>
  </connection>
  <connection id="8" xr16:uid="{460A598F-59CF-4B3C-9022-72DC18691D9B}" name="WorksheetConnection_Book1!Trans" type="102" refreshedVersion="7" minRefreshableVersion="5">
    <extLst>
      <ext xmlns:x15="http://schemas.microsoft.com/office/spreadsheetml/2010/11/main" uri="{DE250136-89BD-433C-8126-D09CA5730AF9}">
        <x15:connection id="Trans">
          <x15:rangePr sourceName="_xlcn.WorksheetConnection_Book1Trans1"/>
        </x15:connection>
      </ext>
    </extLst>
  </connection>
</connections>
</file>

<file path=xl/sharedStrings.xml><?xml version="1.0" encoding="utf-8"?>
<sst xmlns="http://schemas.openxmlformats.org/spreadsheetml/2006/main" count="343" uniqueCount="141">
  <si>
    <t>Branch_Code</t>
  </si>
  <si>
    <t>Branch_Name</t>
  </si>
  <si>
    <t>Account_Number</t>
  </si>
  <si>
    <t>Transaction_Classification</t>
  </si>
  <si>
    <t>Transaction_Date</t>
  </si>
  <si>
    <t>Amount</t>
  </si>
  <si>
    <t>Durban Central</t>
  </si>
  <si>
    <t>Deposit</t>
  </si>
  <si>
    <t>Withdrawal</t>
  </si>
  <si>
    <t>Umhlanga Branch</t>
  </si>
  <si>
    <t>Purchase</t>
  </si>
  <si>
    <t>Pinetown Branch</t>
  </si>
  <si>
    <t>Johannesburg Main</t>
  </si>
  <si>
    <t>Transfer In</t>
  </si>
  <si>
    <t>Sandton Branch</t>
  </si>
  <si>
    <t>Cape Town Central</t>
  </si>
  <si>
    <t>Pretoria Branch</t>
  </si>
  <si>
    <t>Ballito Branch</t>
  </si>
  <si>
    <t>Chatsworth Branch</t>
  </si>
  <si>
    <t>Westville Branch</t>
  </si>
  <si>
    <t>Transfer Out</t>
  </si>
  <si>
    <t>Branch_Manager</t>
  </si>
  <si>
    <t>Branch_Address</t>
  </si>
  <si>
    <t>City</t>
  </si>
  <si>
    <t>Region</t>
  </si>
  <si>
    <t>Thandi Nkosi</t>
  </si>
  <si>
    <t>45 West Street</t>
  </si>
  <si>
    <t>Durban</t>
  </si>
  <si>
    <t>KZN</t>
  </si>
  <si>
    <t>John Smith</t>
  </si>
  <si>
    <t>12 Lagoon Drive</t>
  </si>
  <si>
    <t>Sipho Dlamini</t>
  </si>
  <si>
    <t>20 Josiah Gumede Rd</t>
  </si>
  <si>
    <t>Pinetown</t>
  </si>
  <si>
    <t>Amanda Botha</t>
  </si>
  <si>
    <t>100 Main Street</t>
  </si>
  <si>
    <t>Johannesburg</t>
  </si>
  <si>
    <t>Gauteng</t>
  </si>
  <si>
    <t>Raj Patel</t>
  </si>
  <si>
    <t>5 Sandton Drive</t>
  </si>
  <si>
    <t>Sandton</t>
  </si>
  <si>
    <t>Sarah Jones</t>
  </si>
  <si>
    <t>Long Street 101</t>
  </si>
  <si>
    <t>Cape Town</t>
  </si>
  <si>
    <t>Western Cape</t>
  </si>
  <si>
    <t>Peter Molefe</t>
  </si>
  <si>
    <t>Church Square 5</t>
  </si>
  <si>
    <t>Pretoria</t>
  </si>
  <si>
    <t>Linda Zulu</t>
  </si>
  <si>
    <t>Ballito Junction</t>
  </si>
  <si>
    <t>Ballito</t>
  </si>
  <si>
    <t>Devi Naidoo</t>
  </si>
  <si>
    <t>Chatsworth Centre</t>
  </si>
  <si>
    <t>Chris Brown</t>
  </si>
  <si>
    <t>Westville Mall</t>
  </si>
  <si>
    <t>Westville</t>
  </si>
  <si>
    <t>First_Name</t>
  </si>
  <si>
    <t>Surname</t>
  </si>
  <si>
    <t>Account_Type</t>
  </si>
  <si>
    <t>Client_Address</t>
  </si>
  <si>
    <t>Date_Opened</t>
  </si>
  <si>
    <t>Account_Status</t>
  </si>
  <si>
    <t>Account_Balance</t>
  </si>
  <si>
    <t>Branch_code</t>
  </si>
  <si>
    <t>Bongani</t>
  </si>
  <si>
    <t>Zulu</t>
  </si>
  <si>
    <t>Savings</t>
  </si>
  <si>
    <t>15 Musgrave Rd</t>
  </si>
  <si>
    <t>Active</t>
  </si>
  <si>
    <t>Thandokuhle</t>
  </si>
  <si>
    <t>Mkhize</t>
  </si>
  <si>
    <t>Current</t>
  </si>
  <si>
    <t>22 Umhlanga Rocks</t>
  </si>
  <si>
    <t>James</t>
  </si>
  <si>
    <t>Smith</t>
  </si>
  <si>
    <t>8 Pinetown Ave</t>
  </si>
  <si>
    <t>Lerato</t>
  </si>
  <si>
    <t>Mbeki</t>
  </si>
  <si>
    <t>Business</t>
  </si>
  <si>
    <t>JHB Central 45</t>
  </si>
  <si>
    <t>Fatima</t>
  </si>
  <si>
    <t>Mdluli</t>
  </si>
  <si>
    <t>Sandton 12</t>
  </si>
  <si>
    <t>David</t>
  </si>
  <si>
    <t>Wilson</t>
  </si>
  <si>
    <t>Sea Point 99</t>
  </si>
  <si>
    <t>Dormant</t>
  </si>
  <si>
    <t>Noluthando</t>
  </si>
  <si>
    <t>Dlamini</t>
  </si>
  <si>
    <t>Pretoria East 10</t>
  </si>
  <si>
    <t>Asande</t>
  </si>
  <si>
    <t>Masondo</t>
  </si>
  <si>
    <t>Ballito Bay 5</t>
  </si>
  <si>
    <t>Shannon</t>
  </si>
  <si>
    <t>Pillay</t>
  </si>
  <si>
    <t>Chatsworth 101</t>
  </si>
  <si>
    <t>Michael</t>
  </si>
  <si>
    <t>Brown</t>
  </si>
  <si>
    <t>Westville 20</t>
  </si>
  <si>
    <t>Zanele</t>
  </si>
  <si>
    <t>Khumalo</t>
  </si>
  <si>
    <t>Durban North 3</t>
  </si>
  <si>
    <t>Jason</t>
  </si>
  <si>
    <t>Govender</t>
  </si>
  <si>
    <t>Umhlanga 55</t>
  </si>
  <si>
    <t>Transaction_id</t>
  </si>
  <si>
    <t>Transaction_date</t>
  </si>
  <si>
    <t>Payment_method</t>
  </si>
  <si>
    <t>Cash</t>
  </si>
  <si>
    <t>ATM</t>
  </si>
  <si>
    <t>EFT</t>
  </si>
  <si>
    <t>Card</t>
  </si>
  <si>
    <t>Cheque</t>
  </si>
  <si>
    <t>Row Labels</t>
  </si>
  <si>
    <t>Grand Total</t>
  </si>
  <si>
    <t>Count of Transaction_Classification</t>
  </si>
  <si>
    <t>Sum of Amount</t>
  </si>
  <si>
    <t>Sum of Account_Number</t>
  </si>
  <si>
    <t>Branche_Name</t>
  </si>
  <si>
    <t>2020</t>
  </si>
  <si>
    <t>Dec</t>
  </si>
  <si>
    <t>2021</t>
  </si>
  <si>
    <t>May</t>
  </si>
  <si>
    <t>Nov</t>
  </si>
  <si>
    <t>2022</t>
  </si>
  <si>
    <t>Jun</t>
  </si>
  <si>
    <t>Sep</t>
  </si>
  <si>
    <t>2023</t>
  </si>
  <si>
    <t>Jan</t>
  </si>
  <si>
    <t>Mar</t>
  </si>
  <si>
    <t>Jul</t>
  </si>
  <si>
    <t>Oct</t>
  </si>
  <si>
    <t>2024</t>
  </si>
  <si>
    <t>Feb</t>
  </si>
  <si>
    <t>Column Labels</t>
  </si>
  <si>
    <t>Count of Account_Number</t>
  </si>
  <si>
    <t>Count of First_Name</t>
  </si>
  <si>
    <t>Average of Amount</t>
  </si>
  <si>
    <t>Sum of Account_Balance</t>
  </si>
  <si>
    <t>Trans_Classfication</t>
  </si>
  <si>
    <t>Trans_Classification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</si>
</sst>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0" xfId="0" applyNumberFormat="1"/>
    <xf numFmtId="2" fontId="0" fillId="2" borderId="0" xfId="0" applyNumberFormat="1" applyFill="1"/>
  </cellXfs>
  <cellStyles count="1">
    <cellStyle name="Normal" xfId="0" builtinId="0"/>
  </cellStyles>
  <dxfs count="17">
    <dxf>
      <numFmt numFmtId="19" formatCode="yyyy/mm/dd"/>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pivotCacheDefinition" Target="pivotCache/pivotCacheDefinition4.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[Bank.xlsx]Pivot_Tables!PivotTable1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Number</a:t>
            </a:r>
            <a:r>
              <a:rPr lang="en-US" sz="1600" b="1" baseline="0"/>
              <a:t> of Transactions by Branch</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Pivot_Tables!$B$3</c:f>
              <c:strCache>
                <c:ptCount val="1"/>
                <c:pt idx="0">
                  <c:v>Total</c:v>
                </c:pt>
              </c:strCache>
            </c:strRef>
          </c:tx>
          <c:spPr>
            <a:solidFill>
              <a:schemeClr val="accent1"/>
            </a:solidFill>
            <a:ln>
              <a:noFill/>
            </a:ln>
            <a:effectLst/>
            <a:sp3d/>
          </c:spPr>
          <c:invertIfNegative val="0"/>
          <c:cat>
            <c:strRef>
              <c:f>Pivot_Tables!$A$4:$A$14</c:f>
              <c:strCache>
                <c:ptCount val="10"/>
                <c:pt idx="0">
                  <c:v>Ballito Branch</c:v>
                </c:pt>
                <c:pt idx="1">
                  <c:v>Cape Town Central</c:v>
                </c:pt>
                <c:pt idx="2">
                  <c:v>Chatsworth Branch</c:v>
                </c:pt>
                <c:pt idx="3">
                  <c:v>Durban Central</c:v>
                </c:pt>
                <c:pt idx="4">
                  <c:v>Johannesburg Main</c:v>
                </c:pt>
                <c:pt idx="5">
                  <c:v>Pinetown Branch</c:v>
                </c:pt>
                <c:pt idx="6">
                  <c:v>Pretoria Branch</c:v>
                </c:pt>
                <c:pt idx="7">
                  <c:v>Sandton Branch</c:v>
                </c:pt>
                <c:pt idx="8">
                  <c:v>Umhlanga Branch</c:v>
                </c:pt>
                <c:pt idx="9">
                  <c:v>Westville Branch</c:v>
                </c:pt>
              </c:strCache>
            </c:strRef>
          </c:cat>
          <c:val>
            <c:numRef>
              <c:f>Pivot_Tables!$B$4:$B$14</c:f>
              <c:numCache>
                <c:formatCode>General</c:formatCode>
                <c:ptCount val="10"/>
                <c:pt idx="0">
                  <c:v>1</c:v>
                </c:pt>
                <c:pt idx="1">
                  <c:v>1</c:v>
                </c:pt>
                <c:pt idx="2">
                  <c:v>1</c:v>
                </c:pt>
                <c:pt idx="3">
                  <c:v>6</c:v>
                </c:pt>
                <c:pt idx="4">
                  <c:v>4</c:v>
                </c:pt>
                <c:pt idx="5">
                  <c:v>1</c:v>
                </c:pt>
                <c:pt idx="6">
                  <c:v>1</c:v>
                </c:pt>
                <c:pt idx="7">
                  <c:v>1</c:v>
                </c:pt>
                <c:pt idx="8">
                  <c:v>3</c:v>
                </c:pt>
                <c:pt idx="9">
                  <c:v>1</c:v>
                </c:pt>
              </c:numCache>
            </c:numRef>
          </c:val>
          <c:extLst>
            <c:ext xmlns:c16="http://schemas.microsoft.com/office/drawing/2014/chart" uri="{C3380CC4-5D6E-409C-BE32-E72D297353CC}">
              <c16:uniqueId val="{00000000-2595-4636-A0B6-06FE81F7FC63}"/>
            </c:ext>
          </c:extLst>
        </c:ser>
        <c:dLbls>
          <c:showLegendKey val="0"/>
          <c:showVal val="0"/>
          <c:showCatName val="0"/>
          <c:showSerName val="0"/>
          <c:showPercent val="0"/>
          <c:showBubbleSize val="0"/>
        </c:dLbls>
        <c:gapWidth val="150"/>
        <c:shape val="box"/>
        <c:axId val="1655400112"/>
        <c:axId val="1655386384"/>
        <c:axId val="0"/>
      </c:bar3DChart>
      <c:catAx>
        <c:axId val="165540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5386384"/>
        <c:crosses val="autoZero"/>
        <c:auto val="1"/>
        <c:lblAlgn val="ctr"/>
        <c:lblOffset val="100"/>
        <c:noMultiLvlLbl val="0"/>
      </c:catAx>
      <c:valAx>
        <c:axId val="165538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540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[Bank.xlsx]Pivot_Tables!PivotTable2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Transaction Count by Trasaction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Pivot_Tables!$D$4:$D$9</c:f>
              <c:strCache>
                <c:ptCount val="5"/>
                <c:pt idx="0">
                  <c:v>Deposit</c:v>
                </c:pt>
                <c:pt idx="1">
                  <c:v>Purchase</c:v>
                </c:pt>
                <c:pt idx="2">
                  <c:v>Transfer In</c:v>
                </c:pt>
                <c:pt idx="3">
                  <c:v>Transfer Out</c:v>
                </c:pt>
                <c:pt idx="4">
                  <c:v>Withdrawal</c:v>
                </c:pt>
              </c:strCache>
            </c:strRef>
          </c:cat>
          <c:val>
            <c:numRef>
              <c:f>Pivot_Tables!$E$4:$E$9</c:f>
              <c:numCache>
                <c:formatCode>General</c:formatCode>
                <c:ptCount val="5"/>
                <c:pt idx="0">
                  <c:v>9</c:v>
                </c:pt>
                <c:pt idx="1">
                  <c:v>5</c:v>
                </c:pt>
                <c:pt idx="2">
                  <c:v>1</c:v>
                </c:pt>
                <c:pt idx="3">
                  <c:v>1</c:v>
                </c:pt>
                <c:pt idx="4">
                  <c:v>4</c:v>
                </c:pt>
              </c:numCache>
            </c:numRef>
          </c:val>
          <c:extLst>
            <c:ext xmlns:c16="http://schemas.microsoft.com/office/drawing/2014/chart" uri="{C3380CC4-5D6E-409C-BE32-E72D297353CC}">
              <c16:uniqueId val="{00000001-4B24-46E0-A840-2BE408AD3725}"/>
            </c:ext>
          </c:extLst>
        </c:ser>
        <c:dLbls>
          <c:dLblPos val="outEnd"/>
          <c:showLegendKey val="0"/>
          <c:showVal val="1"/>
          <c:showCatName val="0"/>
          <c:showSerName val="0"/>
          <c:showPercent val="0"/>
          <c:showBubbleSize val="0"/>
        </c:dLbls>
        <c:gapWidth val="219"/>
        <c:overlap val="-27"/>
        <c:axId val="201799552"/>
        <c:axId val="201800384"/>
      </c:barChart>
      <c:catAx>
        <c:axId val="20179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800384"/>
        <c:crosses val="autoZero"/>
        <c:auto val="1"/>
        <c:lblAlgn val="ctr"/>
        <c:lblOffset val="100"/>
        <c:noMultiLvlLbl val="0"/>
      </c:catAx>
      <c:valAx>
        <c:axId val="20180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79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Transaction</a:t>
            </a:r>
            <a:r>
              <a:rPr lang="en-US" sz="1600" b="1" baseline="0"/>
              <a:t> Amount by Transaction Type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36117088589732738"/>
          <c:y val="0.19317708333333336"/>
          <c:w val="0.4527885304659498"/>
          <c:h val="0.80682291666666661"/>
        </c:manualLayout>
      </c:layout>
      <c:doughnutChart>
        <c:varyColors val="1"/>
        <c:ser>
          <c:idx val="0"/>
          <c:order val="0"/>
          <c:tx>
            <c:strRef>
              <c:f>Pivot_Tables!$H$3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E9-4CEE-BCE9-1DDCF2C687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E9-4CEE-BCE9-1DDCF2C687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29-4660-94EC-2FFCE8193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29-4660-94EC-2FFCE8193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29-4660-94EC-2FFCE8193E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Pivot_Tables!$G$4:$G$7</c:f>
              <c:strCache>
                <c:ptCount val="3"/>
                <c:pt idx="0">
                  <c:v>Deposit</c:v>
                </c:pt>
                <c:pt idx="1">
                  <c:v>Purchase</c:v>
                </c:pt>
                <c:pt idx="2">
                  <c:v>Withdrawal</c:v>
                </c:pt>
              </c:strCache>
            </c:strRef>
          </c:cat>
          <c:val>
            <c:numRef>
              <c:f>Pivot_Tables!$H$4:$H$7</c:f>
              <c:numCache>
                <c:formatCode>General</c:formatCode>
                <c:ptCount val="3"/>
                <c:pt idx="0">
                  <c:v>78500</c:v>
                </c:pt>
                <c:pt idx="1">
                  <c:v>10401.5</c:v>
                </c:pt>
                <c:pt idx="2">
                  <c:v>26000</c:v>
                </c:pt>
              </c:numCache>
            </c:numRef>
          </c:val>
          <c:extLst>
            <c:ext xmlns:c16="http://schemas.microsoft.com/office/drawing/2014/chart" uri="{C3380CC4-5D6E-409C-BE32-E72D297353CC}">
              <c16:uniqueId val="{00000004-FAE9-4CEE-BCE9-1DDCF2C687A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[Bank.xlsx]Pivot_Tables!PivotTable15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b="1"/>
              <a:t>Transaction Count by Month and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Pivot_Tables!$B$37:$B$38</c:f>
              <c:strCache>
                <c:ptCount val="1"/>
                <c:pt idx="0">
                  <c:v>Deposit</c:v>
                </c:pt>
              </c:strCache>
            </c:strRef>
          </c:tx>
          <c:spPr>
            <a:ln w="28575" cap="rnd">
              <a:solidFill>
                <a:schemeClr val="accent1"/>
              </a:solidFill>
              <a:round/>
            </a:ln>
            <a:effectLst/>
          </c:spPr>
          <c:marker>
            <c:symbol val="none"/>
          </c:marker>
          <c:cat>
            <c:multiLvlStrRef>
              <c:f>Pivot_Tables!$A$39:$A$56</c:f>
              <c:multiLvlStrCache>
                <c:ptCount val="12"/>
                <c:lvl>
                  <c:pt idx="0">
                    <c:v>Dec</c:v>
                  </c:pt>
                  <c:pt idx="1">
                    <c:v>May</c:v>
                  </c:pt>
                  <c:pt idx="2">
                    <c:v>Nov</c:v>
                  </c:pt>
                  <c:pt idx="3">
                    <c:v>Jun</c:v>
                  </c:pt>
                  <c:pt idx="4">
                    <c:v>Sep</c:v>
                  </c:pt>
                  <c:pt idx="5">
                    <c:v>Jan</c:v>
                  </c:pt>
                  <c:pt idx="6">
                    <c:v>Mar</c:v>
                  </c:pt>
                  <c:pt idx="7">
                    <c:v>Jul</c:v>
                  </c:pt>
                  <c:pt idx="8">
                    <c:v>Oct</c:v>
                  </c:pt>
                  <c:pt idx="9">
                    <c:v>Jan</c:v>
                  </c:pt>
                  <c:pt idx="10">
                    <c:v>Feb</c:v>
                  </c:pt>
                  <c:pt idx="11">
                    <c:v>Mar</c:v>
                  </c:pt>
                </c:lvl>
                <c:lvl>
                  <c:pt idx="0">
                    <c:v>2020</c:v>
                  </c:pt>
                  <c:pt idx="1">
                    <c:v>2021</c:v>
                  </c:pt>
                  <c:pt idx="3">
                    <c:v>2022</c:v>
                  </c:pt>
                  <c:pt idx="5">
                    <c:v>2023</c:v>
                  </c:pt>
                  <c:pt idx="9">
                    <c:v>2024</c:v>
                  </c:pt>
                </c:lvl>
              </c:multiLvlStrCache>
            </c:multiLvlStrRef>
          </c:cat>
          <c:val>
            <c:numRef>
              <c:f>Pivot_Tables!$B$39:$B$56</c:f>
              <c:numCache>
                <c:formatCode>General</c:formatCode>
                <c:ptCount val="12"/>
                <c:pt idx="0">
                  <c:v>1</c:v>
                </c:pt>
                <c:pt idx="1">
                  <c:v>1</c:v>
                </c:pt>
                <c:pt idx="3">
                  <c:v>1</c:v>
                </c:pt>
                <c:pt idx="5">
                  <c:v>1</c:v>
                </c:pt>
                <c:pt idx="6">
                  <c:v>1</c:v>
                </c:pt>
                <c:pt idx="7">
                  <c:v>2</c:v>
                </c:pt>
                <c:pt idx="8">
                  <c:v>1</c:v>
                </c:pt>
                <c:pt idx="9">
                  <c:v>1</c:v>
                </c:pt>
              </c:numCache>
            </c:numRef>
          </c:val>
          <c:smooth val="0"/>
          <c:extLst>
            <c:ext xmlns:c16="http://schemas.microsoft.com/office/drawing/2014/chart" uri="{C3380CC4-5D6E-409C-BE32-E72D297353CC}">
              <c16:uniqueId val="{00000000-0208-4B45-9563-C4CEEAAC0278}"/>
            </c:ext>
          </c:extLst>
        </c:ser>
        <c:ser>
          <c:idx val="1"/>
          <c:order val="1"/>
          <c:tx>
            <c:strRef>
              <c:f>Pivot_Tables!$C$37:$C$38</c:f>
              <c:strCache>
                <c:ptCount val="1"/>
                <c:pt idx="0">
                  <c:v>Purchase</c:v>
                </c:pt>
              </c:strCache>
            </c:strRef>
          </c:tx>
          <c:spPr>
            <a:ln w="28575" cap="rnd">
              <a:solidFill>
                <a:schemeClr val="accent2"/>
              </a:solidFill>
              <a:round/>
            </a:ln>
            <a:effectLst/>
          </c:spPr>
          <c:marker>
            <c:symbol val="none"/>
          </c:marker>
          <c:cat>
            <c:multiLvlStrRef>
              <c:f>Pivot_Tables!$A$39:$A$56</c:f>
              <c:multiLvlStrCache>
                <c:ptCount val="12"/>
                <c:lvl>
                  <c:pt idx="0">
                    <c:v>Dec</c:v>
                  </c:pt>
                  <c:pt idx="1">
                    <c:v>May</c:v>
                  </c:pt>
                  <c:pt idx="2">
                    <c:v>Nov</c:v>
                  </c:pt>
                  <c:pt idx="3">
                    <c:v>Jun</c:v>
                  </c:pt>
                  <c:pt idx="4">
                    <c:v>Sep</c:v>
                  </c:pt>
                  <c:pt idx="5">
                    <c:v>Jan</c:v>
                  </c:pt>
                  <c:pt idx="6">
                    <c:v>Mar</c:v>
                  </c:pt>
                  <c:pt idx="7">
                    <c:v>Jul</c:v>
                  </c:pt>
                  <c:pt idx="8">
                    <c:v>Oct</c:v>
                  </c:pt>
                  <c:pt idx="9">
                    <c:v>Jan</c:v>
                  </c:pt>
                  <c:pt idx="10">
                    <c:v>Feb</c:v>
                  </c:pt>
                  <c:pt idx="11">
                    <c:v>Mar</c:v>
                  </c:pt>
                </c:lvl>
                <c:lvl>
                  <c:pt idx="0">
                    <c:v>2020</c:v>
                  </c:pt>
                  <c:pt idx="1">
                    <c:v>2021</c:v>
                  </c:pt>
                  <c:pt idx="3">
                    <c:v>2022</c:v>
                  </c:pt>
                  <c:pt idx="5">
                    <c:v>2023</c:v>
                  </c:pt>
                  <c:pt idx="9">
                    <c:v>2024</c:v>
                  </c:pt>
                </c:lvl>
              </c:multiLvlStrCache>
            </c:multiLvlStrRef>
          </c:cat>
          <c:val>
            <c:numRef>
              <c:f>Pivot_Tables!$C$39:$C$56</c:f>
              <c:numCache>
                <c:formatCode>General</c:formatCode>
                <c:ptCount val="12"/>
                <c:pt idx="2">
                  <c:v>1</c:v>
                </c:pt>
                <c:pt idx="3">
                  <c:v>1</c:v>
                </c:pt>
                <c:pt idx="4">
                  <c:v>1</c:v>
                </c:pt>
                <c:pt idx="5">
                  <c:v>1</c:v>
                </c:pt>
                <c:pt idx="11">
                  <c:v>1</c:v>
                </c:pt>
              </c:numCache>
            </c:numRef>
          </c:val>
          <c:smooth val="0"/>
          <c:extLst>
            <c:ext xmlns:c16="http://schemas.microsoft.com/office/drawing/2014/chart" uri="{C3380CC4-5D6E-409C-BE32-E72D297353CC}">
              <c16:uniqueId val="{0000000E-9D96-44A0-9DFC-4D488931D698}"/>
            </c:ext>
          </c:extLst>
        </c:ser>
        <c:ser>
          <c:idx val="2"/>
          <c:order val="2"/>
          <c:tx>
            <c:strRef>
              <c:f>Pivot_Tables!$D$37:$D$38</c:f>
              <c:strCache>
                <c:ptCount val="1"/>
                <c:pt idx="0">
                  <c:v>Transfer In</c:v>
                </c:pt>
              </c:strCache>
            </c:strRef>
          </c:tx>
          <c:spPr>
            <a:ln w="28575" cap="rnd">
              <a:solidFill>
                <a:schemeClr val="accent3"/>
              </a:solidFill>
              <a:round/>
            </a:ln>
            <a:effectLst/>
          </c:spPr>
          <c:marker>
            <c:symbol val="none"/>
          </c:marker>
          <c:cat>
            <c:multiLvlStrRef>
              <c:f>Pivot_Tables!$A$39:$A$56</c:f>
              <c:multiLvlStrCache>
                <c:ptCount val="12"/>
                <c:lvl>
                  <c:pt idx="0">
                    <c:v>Dec</c:v>
                  </c:pt>
                  <c:pt idx="1">
                    <c:v>May</c:v>
                  </c:pt>
                  <c:pt idx="2">
                    <c:v>Nov</c:v>
                  </c:pt>
                  <c:pt idx="3">
                    <c:v>Jun</c:v>
                  </c:pt>
                  <c:pt idx="4">
                    <c:v>Sep</c:v>
                  </c:pt>
                  <c:pt idx="5">
                    <c:v>Jan</c:v>
                  </c:pt>
                  <c:pt idx="6">
                    <c:v>Mar</c:v>
                  </c:pt>
                  <c:pt idx="7">
                    <c:v>Jul</c:v>
                  </c:pt>
                  <c:pt idx="8">
                    <c:v>Oct</c:v>
                  </c:pt>
                  <c:pt idx="9">
                    <c:v>Jan</c:v>
                  </c:pt>
                  <c:pt idx="10">
                    <c:v>Feb</c:v>
                  </c:pt>
                  <c:pt idx="11">
                    <c:v>Mar</c:v>
                  </c:pt>
                </c:lvl>
                <c:lvl>
                  <c:pt idx="0">
                    <c:v>2020</c:v>
                  </c:pt>
                  <c:pt idx="1">
                    <c:v>2021</c:v>
                  </c:pt>
                  <c:pt idx="3">
                    <c:v>2022</c:v>
                  </c:pt>
                  <c:pt idx="5">
                    <c:v>2023</c:v>
                  </c:pt>
                  <c:pt idx="9">
                    <c:v>2024</c:v>
                  </c:pt>
                </c:lvl>
              </c:multiLvlStrCache>
            </c:multiLvlStrRef>
          </c:cat>
          <c:val>
            <c:numRef>
              <c:f>Pivot_Tables!$D$39:$D$56</c:f>
              <c:numCache>
                <c:formatCode>General</c:formatCode>
                <c:ptCount val="12"/>
                <c:pt idx="2">
                  <c:v>1</c:v>
                </c:pt>
              </c:numCache>
            </c:numRef>
          </c:val>
          <c:smooth val="0"/>
          <c:extLst>
            <c:ext xmlns:c16="http://schemas.microsoft.com/office/drawing/2014/chart" uri="{C3380CC4-5D6E-409C-BE32-E72D297353CC}">
              <c16:uniqueId val="{0000000F-9D96-44A0-9DFC-4D488931D698}"/>
            </c:ext>
          </c:extLst>
        </c:ser>
        <c:ser>
          <c:idx val="3"/>
          <c:order val="3"/>
          <c:tx>
            <c:strRef>
              <c:f>Pivot_Tables!$E$37:$E$38</c:f>
              <c:strCache>
                <c:ptCount val="1"/>
                <c:pt idx="0">
                  <c:v>Transfer Out</c:v>
                </c:pt>
              </c:strCache>
            </c:strRef>
          </c:tx>
          <c:spPr>
            <a:ln w="28575" cap="rnd">
              <a:solidFill>
                <a:schemeClr val="accent4"/>
              </a:solidFill>
              <a:round/>
            </a:ln>
            <a:effectLst/>
          </c:spPr>
          <c:marker>
            <c:symbol val="none"/>
          </c:marker>
          <c:cat>
            <c:multiLvlStrRef>
              <c:f>Pivot_Tables!$A$39:$A$56</c:f>
              <c:multiLvlStrCache>
                <c:ptCount val="12"/>
                <c:lvl>
                  <c:pt idx="0">
                    <c:v>Dec</c:v>
                  </c:pt>
                  <c:pt idx="1">
                    <c:v>May</c:v>
                  </c:pt>
                  <c:pt idx="2">
                    <c:v>Nov</c:v>
                  </c:pt>
                  <c:pt idx="3">
                    <c:v>Jun</c:v>
                  </c:pt>
                  <c:pt idx="4">
                    <c:v>Sep</c:v>
                  </c:pt>
                  <c:pt idx="5">
                    <c:v>Jan</c:v>
                  </c:pt>
                  <c:pt idx="6">
                    <c:v>Mar</c:v>
                  </c:pt>
                  <c:pt idx="7">
                    <c:v>Jul</c:v>
                  </c:pt>
                  <c:pt idx="8">
                    <c:v>Oct</c:v>
                  </c:pt>
                  <c:pt idx="9">
                    <c:v>Jan</c:v>
                  </c:pt>
                  <c:pt idx="10">
                    <c:v>Feb</c:v>
                  </c:pt>
                  <c:pt idx="11">
                    <c:v>Mar</c:v>
                  </c:pt>
                </c:lvl>
                <c:lvl>
                  <c:pt idx="0">
                    <c:v>2020</c:v>
                  </c:pt>
                  <c:pt idx="1">
                    <c:v>2021</c:v>
                  </c:pt>
                  <c:pt idx="3">
                    <c:v>2022</c:v>
                  </c:pt>
                  <c:pt idx="5">
                    <c:v>2023</c:v>
                  </c:pt>
                  <c:pt idx="9">
                    <c:v>2024</c:v>
                  </c:pt>
                </c:lvl>
              </c:multiLvlStrCache>
            </c:multiLvlStrRef>
          </c:cat>
          <c:val>
            <c:numRef>
              <c:f>Pivot_Tables!$E$39:$E$56</c:f>
              <c:numCache>
                <c:formatCode>General</c:formatCode>
                <c:ptCount val="12"/>
                <c:pt idx="0">
                  <c:v>1</c:v>
                </c:pt>
              </c:numCache>
            </c:numRef>
          </c:val>
          <c:smooth val="0"/>
          <c:extLst>
            <c:ext xmlns:c16="http://schemas.microsoft.com/office/drawing/2014/chart" uri="{C3380CC4-5D6E-409C-BE32-E72D297353CC}">
              <c16:uniqueId val="{00000010-9D96-44A0-9DFC-4D488931D698}"/>
            </c:ext>
          </c:extLst>
        </c:ser>
        <c:ser>
          <c:idx val="4"/>
          <c:order val="4"/>
          <c:tx>
            <c:strRef>
              <c:f>Pivot_Tables!$F$37:$F$38</c:f>
              <c:strCache>
                <c:ptCount val="1"/>
                <c:pt idx="0">
                  <c:v>Withdrawal</c:v>
                </c:pt>
              </c:strCache>
            </c:strRef>
          </c:tx>
          <c:spPr>
            <a:ln w="28575" cap="rnd">
              <a:solidFill>
                <a:schemeClr val="accent5"/>
              </a:solidFill>
              <a:round/>
            </a:ln>
            <a:effectLst/>
          </c:spPr>
          <c:marker>
            <c:symbol val="none"/>
          </c:marker>
          <c:cat>
            <c:multiLvlStrRef>
              <c:f>Pivot_Tables!$A$39:$A$56</c:f>
              <c:multiLvlStrCache>
                <c:ptCount val="12"/>
                <c:lvl>
                  <c:pt idx="0">
                    <c:v>Dec</c:v>
                  </c:pt>
                  <c:pt idx="1">
                    <c:v>May</c:v>
                  </c:pt>
                  <c:pt idx="2">
                    <c:v>Nov</c:v>
                  </c:pt>
                  <c:pt idx="3">
                    <c:v>Jun</c:v>
                  </c:pt>
                  <c:pt idx="4">
                    <c:v>Sep</c:v>
                  </c:pt>
                  <c:pt idx="5">
                    <c:v>Jan</c:v>
                  </c:pt>
                  <c:pt idx="6">
                    <c:v>Mar</c:v>
                  </c:pt>
                  <c:pt idx="7">
                    <c:v>Jul</c:v>
                  </c:pt>
                  <c:pt idx="8">
                    <c:v>Oct</c:v>
                  </c:pt>
                  <c:pt idx="9">
                    <c:v>Jan</c:v>
                  </c:pt>
                  <c:pt idx="10">
                    <c:v>Feb</c:v>
                  </c:pt>
                  <c:pt idx="11">
                    <c:v>Mar</c:v>
                  </c:pt>
                </c:lvl>
                <c:lvl>
                  <c:pt idx="0">
                    <c:v>2020</c:v>
                  </c:pt>
                  <c:pt idx="1">
                    <c:v>2021</c:v>
                  </c:pt>
                  <c:pt idx="3">
                    <c:v>2022</c:v>
                  </c:pt>
                  <c:pt idx="5">
                    <c:v>2023</c:v>
                  </c:pt>
                  <c:pt idx="9">
                    <c:v>2024</c:v>
                  </c:pt>
                </c:lvl>
              </c:multiLvlStrCache>
            </c:multiLvlStrRef>
          </c:cat>
          <c:val>
            <c:numRef>
              <c:f>Pivot_Tables!$F$39:$F$56</c:f>
              <c:numCache>
                <c:formatCode>General</c:formatCode>
                <c:ptCount val="12"/>
                <c:pt idx="2">
                  <c:v>1</c:v>
                </c:pt>
                <c:pt idx="3">
                  <c:v>1</c:v>
                </c:pt>
                <c:pt idx="5">
                  <c:v>1</c:v>
                </c:pt>
                <c:pt idx="10">
                  <c:v>1</c:v>
                </c:pt>
              </c:numCache>
            </c:numRef>
          </c:val>
          <c:smooth val="0"/>
          <c:extLst>
            <c:ext xmlns:c16="http://schemas.microsoft.com/office/drawing/2014/chart" uri="{C3380CC4-5D6E-409C-BE32-E72D297353CC}">
              <c16:uniqueId val="{00000011-9D96-44A0-9DFC-4D488931D698}"/>
            </c:ext>
          </c:extLst>
        </c:ser>
        <c:dLbls>
          <c:showLegendKey val="0"/>
          <c:showVal val="0"/>
          <c:showCatName val="0"/>
          <c:showSerName val="0"/>
          <c:showPercent val="0"/>
          <c:showBubbleSize val="0"/>
        </c:dLbls>
        <c:smooth val="0"/>
        <c:axId val="1014503840"/>
        <c:axId val="1014504672"/>
      </c:lineChart>
      <c:catAx>
        <c:axId val="101450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4504672"/>
        <c:crosses val="autoZero"/>
        <c:auto val="1"/>
        <c:lblAlgn val="ctr"/>
        <c:lblOffset val="100"/>
        <c:noMultiLvlLbl val="0"/>
      </c:catAx>
      <c:valAx>
        <c:axId val="101450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4503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[Bank.xlsx]Pivot_Tables!PivotTable17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b="1"/>
              <a:t>Transaction Types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Pivot_Tables!$B$21:$B$22</c:f>
              <c:strCache>
                <c:ptCount val="1"/>
                <c:pt idx="0">
                  <c:v>Gauteng</c:v>
                </c:pt>
              </c:strCache>
            </c:strRef>
          </c:tx>
          <c:spPr>
            <a:solidFill>
              <a:schemeClr val="accent1"/>
            </a:solidFill>
            <a:ln>
              <a:noFill/>
            </a:ln>
            <a:effectLst/>
          </c:spPr>
          <c:invertIfNegative val="0"/>
          <c:cat>
            <c:strRef>
              <c:f>Pivot_Tables!$A$23:$A$30</c:f>
              <c:strCache>
                <c:ptCount val="7"/>
                <c:pt idx="0">
                  <c:v>Ballito</c:v>
                </c:pt>
                <c:pt idx="1">
                  <c:v>Cape Town</c:v>
                </c:pt>
                <c:pt idx="2">
                  <c:v>Durban</c:v>
                </c:pt>
                <c:pt idx="3">
                  <c:v>Johannesburg</c:v>
                </c:pt>
                <c:pt idx="4">
                  <c:v>Pinetown</c:v>
                </c:pt>
                <c:pt idx="5">
                  <c:v>Pretoria</c:v>
                </c:pt>
                <c:pt idx="6">
                  <c:v>Sandton</c:v>
                </c:pt>
              </c:strCache>
            </c:strRef>
          </c:cat>
          <c:val>
            <c:numRef>
              <c:f>Pivot_Tables!$B$23:$B$30</c:f>
              <c:numCache>
                <c:formatCode>General</c:formatCode>
                <c:ptCount val="7"/>
                <c:pt idx="3">
                  <c:v>2</c:v>
                </c:pt>
                <c:pt idx="5">
                  <c:v>1</c:v>
                </c:pt>
                <c:pt idx="6">
                  <c:v>2</c:v>
                </c:pt>
              </c:numCache>
            </c:numRef>
          </c:val>
          <c:extLst>
            <c:ext xmlns:c16="http://schemas.microsoft.com/office/drawing/2014/chart" uri="{C3380CC4-5D6E-409C-BE32-E72D297353CC}">
              <c16:uniqueId val="{00000000-8389-483B-92B5-E00D97B08F8D}"/>
            </c:ext>
          </c:extLst>
        </c:ser>
        <c:ser>
          <c:idx val="1"/>
          <c:order val="1"/>
          <c:tx>
            <c:strRef>
              <c:f>Pivot_Tables!$C$21:$C$22</c:f>
              <c:strCache>
                <c:ptCount val="1"/>
                <c:pt idx="0">
                  <c:v>KZN</c:v>
                </c:pt>
              </c:strCache>
            </c:strRef>
          </c:tx>
          <c:spPr>
            <a:solidFill>
              <a:schemeClr val="accent2"/>
            </a:solidFill>
            <a:ln>
              <a:noFill/>
            </a:ln>
            <a:effectLst/>
          </c:spPr>
          <c:invertIfNegative val="0"/>
          <c:cat>
            <c:strRef>
              <c:f>Pivot_Tables!$A$23:$A$30</c:f>
              <c:strCache>
                <c:ptCount val="7"/>
                <c:pt idx="0">
                  <c:v>Ballito</c:v>
                </c:pt>
                <c:pt idx="1">
                  <c:v>Cape Town</c:v>
                </c:pt>
                <c:pt idx="2">
                  <c:v>Durban</c:v>
                </c:pt>
                <c:pt idx="3">
                  <c:v>Johannesburg</c:v>
                </c:pt>
                <c:pt idx="4">
                  <c:v>Pinetown</c:v>
                </c:pt>
                <c:pt idx="5">
                  <c:v>Pretoria</c:v>
                </c:pt>
                <c:pt idx="6">
                  <c:v>Sandton</c:v>
                </c:pt>
              </c:strCache>
            </c:strRef>
          </c:cat>
          <c:val>
            <c:numRef>
              <c:f>Pivot_Tables!$C$23:$C$30</c:f>
              <c:numCache>
                <c:formatCode>General</c:formatCode>
                <c:ptCount val="7"/>
                <c:pt idx="0">
                  <c:v>1</c:v>
                </c:pt>
                <c:pt idx="2">
                  <c:v>4</c:v>
                </c:pt>
                <c:pt idx="4">
                  <c:v>1</c:v>
                </c:pt>
              </c:numCache>
            </c:numRef>
          </c:val>
          <c:extLst>
            <c:ext xmlns:c16="http://schemas.microsoft.com/office/drawing/2014/chart" uri="{C3380CC4-5D6E-409C-BE32-E72D297353CC}">
              <c16:uniqueId val="{00000008-43E5-4DD0-8EB8-C03B8697A7F8}"/>
            </c:ext>
          </c:extLst>
        </c:ser>
        <c:ser>
          <c:idx val="2"/>
          <c:order val="2"/>
          <c:tx>
            <c:strRef>
              <c:f>Pivot_Tables!$D$21:$D$22</c:f>
              <c:strCache>
                <c:ptCount val="1"/>
                <c:pt idx="0">
                  <c:v>Western Cape</c:v>
                </c:pt>
              </c:strCache>
            </c:strRef>
          </c:tx>
          <c:spPr>
            <a:solidFill>
              <a:schemeClr val="accent3"/>
            </a:solidFill>
            <a:ln>
              <a:noFill/>
            </a:ln>
            <a:effectLst/>
          </c:spPr>
          <c:invertIfNegative val="0"/>
          <c:cat>
            <c:strRef>
              <c:f>Pivot_Tables!$A$23:$A$30</c:f>
              <c:strCache>
                <c:ptCount val="7"/>
                <c:pt idx="0">
                  <c:v>Ballito</c:v>
                </c:pt>
                <c:pt idx="1">
                  <c:v>Cape Town</c:v>
                </c:pt>
                <c:pt idx="2">
                  <c:v>Durban</c:v>
                </c:pt>
                <c:pt idx="3">
                  <c:v>Johannesburg</c:v>
                </c:pt>
                <c:pt idx="4">
                  <c:v>Pinetown</c:v>
                </c:pt>
                <c:pt idx="5">
                  <c:v>Pretoria</c:v>
                </c:pt>
                <c:pt idx="6">
                  <c:v>Sandton</c:v>
                </c:pt>
              </c:strCache>
            </c:strRef>
          </c:cat>
          <c:val>
            <c:numRef>
              <c:f>Pivot_Tables!$D$23:$D$30</c:f>
              <c:numCache>
                <c:formatCode>General</c:formatCode>
                <c:ptCount val="7"/>
                <c:pt idx="1">
                  <c:v>1</c:v>
                </c:pt>
              </c:numCache>
            </c:numRef>
          </c:val>
          <c:extLst>
            <c:ext xmlns:c16="http://schemas.microsoft.com/office/drawing/2014/chart" uri="{C3380CC4-5D6E-409C-BE32-E72D297353CC}">
              <c16:uniqueId val="{0000000A-43E5-4DD0-8EB8-C03B8697A7F8}"/>
            </c:ext>
          </c:extLst>
        </c:ser>
        <c:dLbls>
          <c:showLegendKey val="0"/>
          <c:showVal val="0"/>
          <c:showCatName val="0"/>
          <c:showSerName val="0"/>
          <c:showPercent val="0"/>
          <c:showBubbleSize val="0"/>
        </c:dLbls>
        <c:gapWidth val="150"/>
        <c:axId val="1014528800"/>
        <c:axId val="1014524224"/>
      </c:barChart>
      <c:catAx>
        <c:axId val="1014528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4524224"/>
        <c:crosses val="autoZero"/>
        <c:auto val="1"/>
        <c:lblAlgn val="ctr"/>
        <c:lblOffset val="100"/>
        <c:noMultiLvlLbl val="0"/>
      </c:catAx>
      <c:valAx>
        <c:axId val="101452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452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[Bank.xlsx]Pivot_Tables!PivotTable10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Account Balance by Branch</a:t>
            </a:r>
          </a:p>
        </c:rich>
      </c:tx>
      <c:layout>
        <c:manualLayout>
          <c:xMode val="edge"/>
          <c:yMode val="edge"/>
          <c:x val="0.23705627705627702"/>
          <c:y val="4.5112781954887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Pivot_Tables!$H$24</c:f>
              <c:strCache>
                <c:ptCount val="1"/>
                <c:pt idx="0">
                  <c:v>Total</c:v>
                </c:pt>
              </c:strCache>
            </c:strRef>
          </c:tx>
          <c:spPr>
            <a:solidFill>
              <a:schemeClr val="accent1"/>
            </a:solidFill>
            <a:ln>
              <a:noFill/>
            </a:ln>
            <a:effectLst/>
            <a:sp3d/>
          </c:spPr>
          <c:invertIfNegative val="0"/>
          <c:cat>
            <c:strRef>
              <c:f>Pivot_Tables!$G$25:$G$34</c:f>
              <c:strCache>
                <c:ptCount val="9"/>
                <c:pt idx="0">
                  <c:v>Ballito Branch</c:v>
                </c:pt>
                <c:pt idx="1">
                  <c:v>Cape Town Central</c:v>
                </c:pt>
                <c:pt idx="2">
                  <c:v>Chatsworth Branch</c:v>
                </c:pt>
                <c:pt idx="3">
                  <c:v>Durban Central</c:v>
                </c:pt>
                <c:pt idx="4">
                  <c:v>Johannesburg Main</c:v>
                </c:pt>
                <c:pt idx="5">
                  <c:v>Pinetown Branch</c:v>
                </c:pt>
                <c:pt idx="6">
                  <c:v>Pretoria Branch</c:v>
                </c:pt>
                <c:pt idx="7">
                  <c:v>Sandton Branch</c:v>
                </c:pt>
                <c:pt idx="8">
                  <c:v>Umhlanga Branch</c:v>
                </c:pt>
              </c:strCache>
            </c:strRef>
          </c:cat>
          <c:val>
            <c:numRef>
              <c:f>Pivot_Tables!$H$25:$H$34</c:f>
              <c:numCache>
                <c:formatCode>General</c:formatCode>
                <c:ptCount val="9"/>
                <c:pt idx="0">
                  <c:v>5600</c:v>
                </c:pt>
                <c:pt idx="1">
                  <c:v>34200.9</c:v>
                </c:pt>
                <c:pt idx="2">
                  <c:v>82800.95</c:v>
                </c:pt>
                <c:pt idx="3">
                  <c:v>250000</c:v>
                </c:pt>
                <c:pt idx="4">
                  <c:v>143500</c:v>
                </c:pt>
                <c:pt idx="5">
                  <c:v>8750.2999999999993</c:v>
                </c:pt>
                <c:pt idx="6">
                  <c:v>9500.25</c:v>
                </c:pt>
                <c:pt idx="7">
                  <c:v>56400</c:v>
                </c:pt>
                <c:pt idx="8">
                  <c:v>2300.75</c:v>
                </c:pt>
              </c:numCache>
            </c:numRef>
          </c:val>
          <c:extLst>
            <c:ext xmlns:c16="http://schemas.microsoft.com/office/drawing/2014/chart" uri="{C3380CC4-5D6E-409C-BE32-E72D297353CC}">
              <c16:uniqueId val="{00000000-3DC7-4FE6-BA69-9B404045637F}"/>
            </c:ext>
          </c:extLst>
        </c:ser>
        <c:dLbls>
          <c:showLegendKey val="0"/>
          <c:showVal val="0"/>
          <c:showCatName val="0"/>
          <c:showSerName val="0"/>
          <c:showPercent val="0"/>
          <c:showBubbleSize val="0"/>
        </c:dLbls>
        <c:gapWidth val="150"/>
        <c:shape val="box"/>
        <c:axId val="1264549904"/>
        <c:axId val="1264535344"/>
        <c:axId val="0"/>
      </c:bar3DChart>
      <c:catAx>
        <c:axId val="1264549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35344"/>
        <c:crosses val="autoZero"/>
        <c:auto val="1"/>
        <c:lblAlgn val="ctr"/>
        <c:lblOffset val="100"/>
        <c:noMultiLvlLbl val="0"/>
      </c:catAx>
      <c:valAx>
        <c:axId val="1264535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4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11</xdr:row>
      <xdr:rowOff>161925</xdr:rowOff>
    </xdr:from>
    <xdr:to>
      <xdr:col>7</xdr:col>
      <xdr:colOff>219075</xdr:colOff>
      <xdr:row>24</xdr:row>
      <xdr:rowOff>123825</xdr:rowOff>
    </xdr:to>
    <xdr:graphicFrame macro="">
      <xdr:nvGraphicFramePr>
        <xdr:cNvPr id="2" name="Chart 1">
          <a:extLst>
            <a:ext uri="{FF2B5EF4-FFF2-40B4-BE49-F238E27FC236}">
              <a16:creationId xmlns:a16="http://schemas.microsoft.com/office/drawing/2014/main" id="{69197898-2CB2-4CD9-AD7E-F943C670E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476250</xdr:colOff>
      <xdr:row>11</xdr:row>
      <xdr:rowOff>180975</xdr:rowOff>
    </xdr:from>
    <xdr:to>
      <xdr:col>22</xdr:col>
      <xdr:colOff>171450</xdr:colOff>
      <xdr:row>24</xdr:row>
      <xdr:rowOff>161925</xdr:rowOff>
    </xdr:to>
    <xdr:graphicFrame macro="">
      <xdr:nvGraphicFramePr>
        <xdr:cNvPr id="4" name="Chart 3">
          <a:extLst>
            <a:ext uri="{FF2B5EF4-FFF2-40B4-BE49-F238E27FC236}">
              <a16:creationId xmlns:a16="http://schemas.microsoft.com/office/drawing/2014/main" id="{08293509-6CF7-41EA-B357-BB99CB355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247650</xdr:colOff>
      <xdr:row>11</xdr:row>
      <xdr:rowOff>161925</xdr:rowOff>
    </xdr:from>
    <xdr:to>
      <xdr:col>14</xdr:col>
      <xdr:colOff>409575</xdr:colOff>
      <xdr:row>24</xdr:row>
      <xdr:rowOff>123825</xdr:rowOff>
    </xdr:to>
    <xdr:graphicFrame macro="">
      <xdr:nvGraphicFramePr>
        <xdr:cNvPr id="5" name="Chart 4">
          <a:extLst>
            <a:ext uri="{FF2B5EF4-FFF2-40B4-BE49-F238E27FC236}">
              <a16:creationId xmlns:a16="http://schemas.microsoft.com/office/drawing/2014/main" id="{A0EB9D8B-77BB-4612-A30D-5BA3E7F81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161924</xdr:rowOff>
    </xdr:from>
    <xdr:to>
      <xdr:col>7</xdr:col>
      <xdr:colOff>219075</xdr:colOff>
      <xdr:row>38</xdr:row>
      <xdr:rowOff>19049</xdr:rowOff>
    </xdr:to>
    <xdr:graphicFrame macro="">
      <xdr:nvGraphicFramePr>
        <xdr:cNvPr id="6" name="Chart 5">
          <a:extLst>
            <a:ext uri="{FF2B5EF4-FFF2-40B4-BE49-F238E27FC236}">
              <a16:creationId xmlns:a16="http://schemas.microsoft.com/office/drawing/2014/main" id="{44EB80EF-A588-4267-99B8-9C3EE06A8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466725</xdr:colOff>
      <xdr:row>24</xdr:row>
      <xdr:rowOff>180974</xdr:rowOff>
    </xdr:from>
    <xdr:to>
      <xdr:col>22</xdr:col>
      <xdr:colOff>161925</xdr:colOff>
      <xdr:row>38</xdr:row>
      <xdr:rowOff>19049</xdr:rowOff>
    </xdr:to>
    <xdr:graphicFrame macro="">
      <xdr:nvGraphicFramePr>
        <xdr:cNvPr id="8" name="Chart 7">
          <a:extLst>
            <a:ext uri="{FF2B5EF4-FFF2-40B4-BE49-F238E27FC236}">
              <a16:creationId xmlns:a16="http://schemas.microsoft.com/office/drawing/2014/main" id="{221C154D-E3AF-4778-92A9-994D23E68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28575</xdr:colOff>
      <xdr:row>6</xdr:row>
      <xdr:rowOff>161925</xdr:rowOff>
    </xdr:from>
    <xdr:to>
      <xdr:col>3</xdr:col>
      <xdr:colOff>428625</xdr:colOff>
      <xdr:row>11</xdr:row>
      <xdr:rowOff>142875</xdr:rowOff>
    </xdr:to>
    <mc:AlternateContent xmlns:mc="http://schemas.openxmlformats.org/markup-compatibility/2006" xmlns:a14="http://schemas.microsoft.com/office/drawing/2010/main">
      <mc:Choice Requires="a14">
        <xdr:graphicFrame macro="">
          <xdr:nvGraphicFramePr>
            <xdr:cNvPr id="9" name="Branch_Name 1">
              <a:extLst>
                <a:ext uri="{FF2B5EF4-FFF2-40B4-BE49-F238E27FC236}">
                  <a16:creationId xmlns:a16="http://schemas.microsoft.com/office/drawing/2014/main" id="{C89192C5-0390-42DA-B13E-B22BD2427B1B}"/>
                </a:ext>
              </a:extLst>
            </xdr:cNvPr>
            <xdr:cNvGraphicFramePr/>
          </xdr:nvGraphicFramePr>
          <xdr:xfrm>
            <a:off x="0" y="0"/>
            <a:ext cx="0" cy="0"/>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28575" y="1304925"/>
              <a:ext cx="2171700" cy="9334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438150</xdr:colOff>
      <xdr:row>6</xdr:row>
      <xdr:rowOff>161925</xdr:rowOff>
    </xdr:from>
    <xdr:to>
      <xdr:col>7</xdr:col>
      <xdr:colOff>209550</xdr:colOff>
      <xdr:row>11</xdr:row>
      <xdr:rowOff>142874</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A5C2F16-3894-4C3B-86E3-696DFF2E66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09800" y="1304925"/>
              <a:ext cx="2209800" cy="9334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6</xdr:row>
      <xdr:rowOff>152400</xdr:rowOff>
    </xdr:from>
    <xdr:to>
      <xdr:col>10</xdr:col>
      <xdr:colOff>590549</xdr:colOff>
      <xdr:row>11</xdr:row>
      <xdr:rowOff>133350</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F4ACA132-6D49-45E2-8613-EB7BF2B9FD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495800" y="1295400"/>
              <a:ext cx="2190749" cy="9334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600075</xdr:colOff>
      <xdr:row>6</xdr:row>
      <xdr:rowOff>152401</xdr:rowOff>
    </xdr:from>
    <xdr:to>
      <xdr:col>14</xdr:col>
      <xdr:colOff>428625</xdr:colOff>
      <xdr:row>11</xdr:row>
      <xdr:rowOff>114301</xdr:rowOff>
    </xdr:to>
    <mc:AlternateContent xmlns:mc="http://schemas.openxmlformats.org/markup-compatibility/2006">
      <mc:Choice xmlns:a14="http://schemas.microsoft.com/office/drawing/2010/main" Requires="a14">
        <xdr:graphicFrame macro="">
          <xdr:nvGraphicFramePr>
            <xdr:cNvPr id="12" name="Account_Type">
              <a:extLst>
                <a:ext uri="{FF2B5EF4-FFF2-40B4-BE49-F238E27FC236}">
                  <a16:creationId xmlns:a16="http://schemas.microsoft.com/office/drawing/2014/main" id="{5CBF5E0C-A47C-4367-8C5C-8443941845B6}"/>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6696075" y="1295401"/>
              <a:ext cx="2266950" cy="9144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476251</xdr:colOff>
      <xdr:row>6</xdr:row>
      <xdr:rowOff>161925</xdr:rowOff>
    </xdr:from>
    <xdr:to>
      <xdr:col>18</xdr:col>
      <xdr:colOff>276225</xdr:colOff>
      <xdr:row>11</xdr:row>
      <xdr:rowOff>133350</xdr:rowOff>
    </xdr:to>
    <mc:AlternateContent xmlns:mc="http://schemas.openxmlformats.org/markup-compatibility/2006">
      <mc:Choice xmlns:a14="http://schemas.microsoft.com/office/drawing/2010/main" Requires="a14">
        <xdr:graphicFrame macro="">
          <xdr:nvGraphicFramePr>
            <xdr:cNvPr id="13" name="Payment_method">
              <a:extLst>
                <a:ext uri="{FF2B5EF4-FFF2-40B4-BE49-F238E27FC236}">
                  <a16:creationId xmlns:a16="http://schemas.microsoft.com/office/drawing/2014/main" id="{B8F4083C-CA22-4CD4-9D4F-893622F6371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9010651" y="1304925"/>
              <a:ext cx="2238374" cy="9239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323850</xdr:colOff>
      <xdr:row>6</xdr:row>
      <xdr:rowOff>161925</xdr:rowOff>
    </xdr:from>
    <xdr:to>
      <xdr:col>22</xdr:col>
      <xdr:colOff>180974</xdr:colOff>
      <xdr:row>11</xdr:row>
      <xdr:rowOff>133350</xdr:rowOff>
    </xdr:to>
    <mc:AlternateContent xmlns:mc="http://schemas.openxmlformats.org/markup-compatibility/2006">
      <mc:Choice xmlns:a14="http://schemas.microsoft.com/office/drawing/2010/main" Requires="a14">
        <xdr:graphicFrame macro="">
          <xdr:nvGraphicFramePr>
            <xdr:cNvPr id="14" name="Transaction_Classification">
              <a:extLst>
                <a:ext uri="{FF2B5EF4-FFF2-40B4-BE49-F238E27FC236}">
                  <a16:creationId xmlns:a16="http://schemas.microsoft.com/office/drawing/2014/main" id="{0DB5EE99-EB36-4A04-9E0D-1979C45DF573}"/>
                </a:ext>
              </a:extLst>
            </xdr:cNvPr>
            <xdr:cNvGraphicFramePr/>
          </xdr:nvGraphicFramePr>
          <xdr:xfrm>
            <a:off x="0" y="0"/>
            <a:ext cx="0" cy="0"/>
          </xdr:xfrm>
          <a:graphic>
            <a:graphicData uri="http://schemas.microsoft.com/office/drawing/2010/slicer">
              <sle:slicer xmlns:sle="http://schemas.microsoft.com/office/drawing/2010/slicer" name="Transaction_Classification"/>
            </a:graphicData>
          </a:graphic>
        </xdr:graphicFrame>
      </mc:Choice>
      <mc:Fallback>
        <xdr:sp macro="" textlink="">
          <xdr:nvSpPr>
            <xdr:cNvPr id="0" name=""/>
            <xdr:cNvSpPr>
              <a:spLocks noTextEdit="1"/>
            </xdr:cNvSpPr>
          </xdr:nvSpPr>
          <xdr:spPr>
            <a:xfrm>
              <a:off x="11296650" y="1304925"/>
              <a:ext cx="2295524" cy="9239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9525</xdr:rowOff>
    </xdr:from>
    <xdr:to>
      <xdr:col>22</xdr:col>
      <xdr:colOff>190500</xdr:colOff>
      <xdr:row>6</xdr:row>
      <xdr:rowOff>123826</xdr:rowOff>
    </xdr:to>
    <xdr:grpSp>
      <xdr:nvGrpSpPr>
        <xdr:cNvPr id="42" name="Group 41">
          <a:extLst>
            <a:ext uri="{FF2B5EF4-FFF2-40B4-BE49-F238E27FC236}">
              <a16:creationId xmlns:a16="http://schemas.microsoft.com/office/drawing/2014/main" id="{5341EC06-9957-41FF-A868-106E294A3687}"/>
            </a:ext>
          </a:extLst>
        </xdr:cNvPr>
        <xdr:cNvGrpSpPr/>
      </xdr:nvGrpSpPr>
      <xdr:grpSpPr>
        <a:xfrm>
          <a:off x="19050" y="9525"/>
          <a:ext cx="13582650" cy="1257301"/>
          <a:chOff x="19050" y="9525"/>
          <a:chExt cx="13582650" cy="1257301"/>
        </a:xfrm>
      </xdr:grpSpPr>
      <xdr:sp macro="" textlink="">
        <xdr:nvSpPr>
          <xdr:cNvPr id="21" name="TextBox 20">
            <a:extLst>
              <a:ext uri="{FF2B5EF4-FFF2-40B4-BE49-F238E27FC236}">
                <a16:creationId xmlns:a16="http://schemas.microsoft.com/office/drawing/2014/main" id="{6D65409C-3BEC-4146-9D61-3DDF1674A4BC}"/>
              </a:ext>
            </a:extLst>
          </xdr:cNvPr>
          <xdr:cNvSpPr txBox="1"/>
        </xdr:nvSpPr>
        <xdr:spPr>
          <a:xfrm>
            <a:off x="19050" y="9525"/>
            <a:ext cx="13582650" cy="561975"/>
          </a:xfrm>
          <a:prstGeom prst="rect">
            <a:avLst/>
          </a:prstGeom>
          <a:solidFill>
            <a:schemeClr val="accent5">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2400" b="1">
                <a:solidFill>
                  <a:schemeClr val="bg1"/>
                </a:solidFill>
              </a:rPr>
              <a:t>Banking Performance and Customer Analytics Dashboard</a:t>
            </a:r>
          </a:p>
        </xdr:txBody>
      </xdr:sp>
      <xdr:grpSp>
        <xdr:nvGrpSpPr>
          <xdr:cNvPr id="41" name="Group 40">
            <a:extLst>
              <a:ext uri="{FF2B5EF4-FFF2-40B4-BE49-F238E27FC236}">
                <a16:creationId xmlns:a16="http://schemas.microsoft.com/office/drawing/2014/main" id="{671F8D85-61D6-4C1B-AFC9-DFF7DAD03819}"/>
              </a:ext>
            </a:extLst>
          </xdr:cNvPr>
          <xdr:cNvGrpSpPr/>
        </xdr:nvGrpSpPr>
        <xdr:grpSpPr>
          <a:xfrm>
            <a:off x="21168" y="571500"/>
            <a:ext cx="13561482" cy="695326"/>
            <a:chOff x="21168" y="571500"/>
            <a:chExt cx="13561482" cy="695326"/>
          </a:xfrm>
        </xdr:grpSpPr>
        <xdr:grpSp>
          <xdr:nvGrpSpPr>
            <xdr:cNvPr id="35" name="Group 34">
              <a:extLst>
                <a:ext uri="{FF2B5EF4-FFF2-40B4-BE49-F238E27FC236}">
                  <a16:creationId xmlns:a16="http://schemas.microsoft.com/office/drawing/2014/main" id="{D29FBEB7-CB8F-4C27-A583-F88FDEFD9995}"/>
                </a:ext>
              </a:extLst>
            </xdr:cNvPr>
            <xdr:cNvGrpSpPr/>
          </xdr:nvGrpSpPr>
          <xdr:grpSpPr>
            <a:xfrm>
              <a:off x="21168" y="571500"/>
              <a:ext cx="2236258" cy="695325"/>
              <a:chOff x="21168" y="571500"/>
              <a:chExt cx="2236258" cy="695325"/>
            </a:xfrm>
          </xdr:grpSpPr>
          <xdr:sp macro="" textlink="">
            <xdr:nvSpPr>
              <xdr:cNvPr id="15" name="Rectangle 14">
                <a:extLst>
                  <a:ext uri="{FF2B5EF4-FFF2-40B4-BE49-F238E27FC236}">
                    <a16:creationId xmlns:a16="http://schemas.microsoft.com/office/drawing/2014/main" id="{D7E5D309-C3EF-4E5F-9662-663B1C02E6D8}"/>
                  </a:ext>
                </a:extLst>
              </xdr:cNvPr>
              <xdr:cNvSpPr/>
            </xdr:nvSpPr>
            <xdr:spPr>
              <a:xfrm>
                <a:off x="21168" y="571500"/>
                <a:ext cx="2236258" cy="695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22" name="TextBox 21">
                <a:extLst>
                  <a:ext uri="{FF2B5EF4-FFF2-40B4-BE49-F238E27FC236}">
                    <a16:creationId xmlns:a16="http://schemas.microsoft.com/office/drawing/2014/main" id="{4B24D1B8-6C28-4DE6-BE54-EFD5AFF6A70A}"/>
                  </a:ext>
                </a:extLst>
              </xdr:cNvPr>
              <xdr:cNvSpPr txBox="1"/>
            </xdr:nvSpPr>
            <xdr:spPr>
              <a:xfrm>
                <a:off x="104775" y="619125"/>
                <a:ext cx="1914525" cy="2571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solidFill>
                      <a:schemeClr val="bg1"/>
                    </a:solidFill>
                  </a:rPr>
                  <a:t>Total Transactions</a:t>
                </a:r>
              </a:p>
            </xdr:txBody>
          </xdr:sp>
          <xdr:sp macro="" textlink="$Y$20">
            <xdr:nvSpPr>
              <xdr:cNvPr id="28" name="TextBox 27">
                <a:extLst>
                  <a:ext uri="{FF2B5EF4-FFF2-40B4-BE49-F238E27FC236}">
                    <a16:creationId xmlns:a16="http://schemas.microsoft.com/office/drawing/2014/main" id="{E553E802-84C5-467E-802E-42FDDCA1DFD1}"/>
                  </a:ext>
                </a:extLst>
              </xdr:cNvPr>
              <xdr:cNvSpPr txBox="1"/>
            </xdr:nvSpPr>
            <xdr:spPr>
              <a:xfrm>
                <a:off x="771525" y="895350"/>
                <a:ext cx="657225" cy="30480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1CEB10-A133-4DFC-9DAF-513D55ECE3B9}" type="TxLink">
                  <a:rPr lang="en-US" sz="1600" b="1" i="0" u="none" strike="noStrike">
                    <a:solidFill>
                      <a:schemeClr val="accent2">
                        <a:lumMod val="60000"/>
                        <a:lumOff val="40000"/>
                      </a:schemeClr>
                    </a:solidFill>
                    <a:latin typeface="Calibri"/>
                    <a:cs typeface="Calibri"/>
                  </a:rPr>
                  <a:t>20</a:t>
                </a:fld>
                <a:endParaRPr lang="en-ZA" sz="1600" b="1">
                  <a:solidFill>
                    <a:schemeClr val="accent2">
                      <a:lumMod val="60000"/>
                      <a:lumOff val="40000"/>
                    </a:schemeClr>
                  </a:solidFill>
                </a:endParaRPr>
              </a:p>
            </xdr:txBody>
          </xdr:sp>
        </xdr:grpSp>
        <xdr:grpSp>
          <xdr:nvGrpSpPr>
            <xdr:cNvPr id="36" name="Group 35">
              <a:extLst>
                <a:ext uri="{FF2B5EF4-FFF2-40B4-BE49-F238E27FC236}">
                  <a16:creationId xmlns:a16="http://schemas.microsoft.com/office/drawing/2014/main" id="{A9F414B8-45CC-4863-8413-A687C9082748}"/>
                </a:ext>
              </a:extLst>
            </xdr:cNvPr>
            <xdr:cNvGrpSpPr/>
          </xdr:nvGrpSpPr>
          <xdr:grpSpPr>
            <a:xfrm>
              <a:off x="2257425" y="571500"/>
              <a:ext cx="2219325" cy="695325"/>
              <a:chOff x="2257425" y="571500"/>
              <a:chExt cx="2219325" cy="695325"/>
            </a:xfrm>
          </xdr:grpSpPr>
          <xdr:sp macro="" textlink="">
            <xdr:nvSpPr>
              <xdr:cNvPr id="18" name="Rectangle 17">
                <a:extLst>
                  <a:ext uri="{FF2B5EF4-FFF2-40B4-BE49-F238E27FC236}">
                    <a16:creationId xmlns:a16="http://schemas.microsoft.com/office/drawing/2014/main" id="{72C8F6DE-68AB-49EC-8511-2AD6910207A0}"/>
                  </a:ext>
                </a:extLst>
              </xdr:cNvPr>
              <xdr:cNvSpPr/>
            </xdr:nvSpPr>
            <xdr:spPr>
              <a:xfrm>
                <a:off x="2257425" y="571500"/>
                <a:ext cx="2219325" cy="695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23" name="TextBox 22">
                <a:extLst>
                  <a:ext uri="{FF2B5EF4-FFF2-40B4-BE49-F238E27FC236}">
                    <a16:creationId xmlns:a16="http://schemas.microsoft.com/office/drawing/2014/main" id="{3775D329-4DE0-460D-8F77-92AAE3AE1C98}"/>
                  </a:ext>
                </a:extLst>
              </xdr:cNvPr>
              <xdr:cNvSpPr txBox="1"/>
            </xdr:nvSpPr>
            <xdr:spPr>
              <a:xfrm>
                <a:off x="2409825" y="628650"/>
                <a:ext cx="1905000" cy="2190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solidFill>
                      <a:schemeClr val="bg1"/>
                    </a:solidFill>
                  </a:rPr>
                  <a:t>Total Deposits</a:t>
                </a:r>
              </a:p>
            </xdr:txBody>
          </xdr:sp>
          <xdr:sp macro="" textlink="$Y$18">
            <xdr:nvSpPr>
              <xdr:cNvPr id="29" name="TextBox 28">
                <a:extLst>
                  <a:ext uri="{FF2B5EF4-FFF2-40B4-BE49-F238E27FC236}">
                    <a16:creationId xmlns:a16="http://schemas.microsoft.com/office/drawing/2014/main" id="{3FFB9423-739A-4025-8687-E0C2B6657C86}"/>
                  </a:ext>
                </a:extLst>
              </xdr:cNvPr>
              <xdr:cNvSpPr txBox="1"/>
            </xdr:nvSpPr>
            <xdr:spPr>
              <a:xfrm>
                <a:off x="2400300" y="876300"/>
                <a:ext cx="1962150" cy="34290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8CB92A-0F15-4EC7-8110-FEF11B84B858}" type="TxLink">
                  <a:rPr lang="en-US" sz="1800" b="1" i="0" u="none" strike="noStrike">
                    <a:solidFill>
                      <a:schemeClr val="accent2">
                        <a:lumMod val="60000"/>
                        <a:lumOff val="40000"/>
                      </a:schemeClr>
                    </a:solidFill>
                    <a:latin typeface="Calibri"/>
                    <a:cs typeface="Calibri"/>
                  </a:rPr>
                  <a:pPr algn="ctr"/>
                  <a:t>78500</a:t>
                </a:fld>
                <a:endParaRPr lang="en-ZA" sz="1800" b="1">
                  <a:solidFill>
                    <a:schemeClr val="accent2">
                      <a:lumMod val="60000"/>
                      <a:lumOff val="40000"/>
                    </a:schemeClr>
                  </a:solidFill>
                </a:endParaRPr>
              </a:p>
            </xdr:txBody>
          </xdr:sp>
        </xdr:grpSp>
        <xdr:grpSp>
          <xdr:nvGrpSpPr>
            <xdr:cNvPr id="37" name="Group 36">
              <a:extLst>
                <a:ext uri="{FF2B5EF4-FFF2-40B4-BE49-F238E27FC236}">
                  <a16:creationId xmlns:a16="http://schemas.microsoft.com/office/drawing/2014/main" id="{A3A52214-416E-4536-8734-29DAA34BD4A8}"/>
                </a:ext>
              </a:extLst>
            </xdr:cNvPr>
            <xdr:cNvGrpSpPr/>
          </xdr:nvGrpSpPr>
          <xdr:grpSpPr>
            <a:xfrm>
              <a:off x="4495800" y="571500"/>
              <a:ext cx="2219325" cy="695325"/>
              <a:chOff x="4495800" y="571500"/>
              <a:chExt cx="2219325" cy="695325"/>
            </a:xfrm>
          </xdr:grpSpPr>
          <xdr:sp macro="" textlink="">
            <xdr:nvSpPr>
              <xdr:cNvPr id="17" name="Rectangle 16">
                <a:extLst>
                  <a:ext uri="{FF2B5EF4-FFF2-40B4-BE49-F238E27FC236}">
                    <a16:creationId xmlns:a16="http://schemas.microsoft.com/office/drawing/2014/main" id="{7CA2988C-1690-473A-AA38-03D051FCDC64}"/>
                  </a:ext>
                </a:extLst>
              </xdr:cNvPr>
              <xdr:cNvSpPr/>
            </xdr:nvSpPr>
            <xdr:spPr>
              <a:xfrm>
                <a:off x="4495800" y="571500"/>
                <a:ext cx="2219325" cy="695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24" name="TextBox 23">
                <a:extLst>
                  <a:ext uri="{FF2B5EF4-FFF2-40B4-BE49-F238E27FC236}">
                    <a16:creationId xmlns:a16="http://schemas.microsoft.com/office/drawing/2014/main" id="{5D7C8C50-2CD9-4579-80FE-A78BDFEAF495}"/>
                  </a:ext>
                </a:extLst>
              </xdr:cNvPr>
              <xdr:cNvSpPr txBox="1"/>
            </xdr:nvSpPr>
            <xdr:spPr>
              <a:xfrm>
                <a:off x="4610100" y="619125"/>
                <a:ext cx="2066925" cy="2571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solidFill>
                      <a:schemeClr val="bg1"/>
                    </a:solidFill>
                  </a:rPr>
                  <a:t>Total Transaction Anount</a:t>
                </a:r>
              </a:p>
            </xdr:txBody>
          </xdr:sp>
          <xdr:sp macro="" textlink="$Y$14">
            <xdr:nvSpPr>
              <xdr:cNvPr id="30" name="TextBox 29">
                <a:extLst>
                  <a:ext uri="{FF2B5EF4-FFF2-40B4-BE49-F238E27FC236}">
                    <a16:creationId xmlns:a16="http://schemas.microsoft.com/office/drawing/2014/main" id="{3DB78D67-6FFE-495A-BB2C-5DB6FD0A3A76}"/>
                  </a:ext>
                </a:extLst>
              </xdr:cNvPr>
              <xdr:cNvSpPr txBox="1"/>
            </xdr:nvSpPr>
            <xdr:spPr>
              <a:xfrm>
                <a:off x="4791075" y="866775"/>
                <a:ext cx="1657350" cy="333375"/>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DFCDDD-989C-434C-90B4-F7D909853DFC}" type="TxLink">
                  <a:rPr lang="en-US" sz="1600" b="1" i="0" u="none" strike="noStrike">
                    <a:solidFill>
                      <a:schemeClr val="accent2">
                        <a:lumMod val="60000"/>
                        <a:lumOff val="40000"/>
                      </a:schemeClr>
                    </a:solidFill>
                    <a:latin typeface="Calibri"/>
                    <a:cs typeface="Calibri"/>
                  </a:rPr>
                  <a:pPr algn="ctr"/>
                  <a:t>114901,5</a:t>
                </a:fld>
                <a:endParaRPr lang="en-ZA" sz="1600" b="1">
                  <a:solidFill>
                    <a:schemeClr val="accent2">
                      <a:lumMod val="60000"/>
                      <a:lumOff val="40000"/>
                    </a:schemeClr>
                  </a:solidFill>
                </a:endParaRPr>
              </a:p>
            </xdr:txBody>
          </xdr:sp>
        </xdr:grpSp>
        <xdr:grpSp>
          <xdr:nvGrpSpPr>
            <xdr:cNvPr id="38" name="Group 37">
              <a:extLst>
                <a:ext uri="{FF2B5EF4-FFF2-40B4-BE49-F238E27FC236}">
                  <a16:creationId xmlns:a16="http://schemas.microsoft.com/office/drawing/2014/main" id="{09249D9C-28F3-43F8-9043-AF10B55ED195}"/>
                </a:ext>
              </a:extLst>
            </xdr:cNvPr>
            <xdr:cNvGrpSpPr/>
          </xdr:nvGrpSpPr>
          <xdr:grpSpPr>
            <a:xfrm>
              <a:off x="6724650" y="571500"/>
              <a:ext cx="2257425" cy="695325"/>
              <a:chOff x="6724650" y="571500"/>
              <a:chExt cx="2257425" cy="695325"/>
            </a:xfrm>
          </xdr:grpSpPr>
          <xdr:sp macro="" textlink="">
            <xdr:nvSpPr>
              <xdr:cNvPr id="16" name="Rectangle 15">
                <a:extLst>
                  <a:ext uri="{FF2B5EF4-FFF2-40B4-BE49-F238E27FC236}">
                    <a16:creationId xmlns:a16="http://schemas.microsoft.com/office/drawing/2014/main" id="{BA937FE4-179C-41BD-9076-2F05EC723B65}"/>
                  </a:ext>
                </a:extLst>
              </xdr:cNvPr>
              <xdr:cNvSpPr/>
            </xdr:nvSpPr>
            <xdr:spPr>
              <a:xfrm>
                <a:off x="6724650" y="571500"/>
                <a:ext cx="2257425" cy="695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25" name="TextBox 24">
                <a:extLst>
                  <a:ext uri="{FF2B5EF4-FFF2-40B4-BE49-F238E27FC236}">
                    <a16:creationId xmlns:a16="http://schemas.microsoft.com/office/drawing/2014/main" id="{6E1CAC42-BA04-4819-83ED-B278CD7FE8A3}"/>
                  </a:ext>
                </a:extLst>
              </xdr:cNvPr>
              <xdr:cNvSpPr txBox="1"/>
            </xdr:nvSpPr>
            <xdr:spPr>
              <a:xfrm>
                <a:off x="6867525" y="619125"/>
                <a:ext cx="2038350" cy="2381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solidFill>
                      <a:schemeClr val="bg1"/>
                    </a:solidFill>
                  </a:rPr>
                  <a:t>Total Customers</a:t>
                </a:r>
              </a:p>
            </xdr:txBody>
          </xdr:sp>
          <xdr:sp macro="" textlink="$Y$22">
            <xdr:nvSpPr>
              <xdr:cNvPr id="31" name="TextBox 30">
                <a:extLst>
                  <a:ext uri="{FF2B5EF4-FFF2-40B4-BE49-F238E27FC236}">
                    <a16:creationId xmlns:a16="http://schemas.microsoft.com/office/drawing/2014/main" id="{35D2BC99-1C84-4187-A220-91509E5F4D3C}"/>
                  </a:ext>
                </a:extLst>
              </xdr:cNvPr>
              <xdr:cNvSpPr txBox="1"/>
            </xdr:nvSpPr>
            <xdr:spPr>
              <a:xfrm>
                <a:off x="7200900" y="895349"/>
                <a:ext cx="1333500" cy="295275"/>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31C513-73EC-425C-ADEA-5AA8C1422B97}" type="TxLink">
                  <a:rPr lang="en-US" sz="1600" b="1" i="0" u="none" strike="noStrike">
                    <a:solidFill>
                      <a:schemeClr val="accent2">
                        <a:lumMod val="60000"/>
                        <a:lumOff val="40000"/>
                      </a:schemeClr>
                    </a:solidFill>
                    <a:latin typeface="Calibri"/>
                    <a:cs typeface="Calibri"/>
                  </a:rPr>
                  <a:pPr algn="ctr"/>
                  <a:t>12</a:t>
                </a:fld>
                <a:endParaRPr lang="en-ZA" sz="1600" b="1">
                  <a:solidFill>
                    <a:schemeClr val="accent2">
                      <a:lumMod val="60000"/>
                      <a:lumOff val="40000"/>
                    </a:schemeClr>
                  </a:solidFill>
                </a:endParaRPr>
              </a:p>
            </xdr:txBody>
          </xdr:sp>
        </xdr:grpSp>
        <xdr:grpSp>
          <xdr:nvGrpSpPr>
            <xdr:cNvPr id="39" name="Group 38">
              <a:extLst>
                <a:ext uri="{FF2B5EF4-FFF2-40B4-BE49-F238E27FC236}">
                  <a16:creationId xmlns:a16="http://schemas.microsoft.com/office/drawing/2014/main" id="{75BE8E56-9EC0-4D5F-A460-77927DC3EBF8}"/>
                </a:ext>
              </a:extLst>
            </xdr:cNvPr>
            <xdr:cNvGrpSpPr/>
          </xdr:nvGrpSpPr>
          <xdr:grpSpPr>
            <a:xfrm>
              <a:off x="9010650" y="571500"/>
              <a:ext cx="2219325" cy="695325"/>
              <a:chOff x="9010650" y="571500"/>
              <a:chExt cx="2219325" cy="695325"/>
            </a:xfrm>
          </xdr:grpSpPr>
          <xdr:sp macro="" textlink="">
            <xdr:nvSpPr>
              <xdr:cNvPr id="19" name="Rectangle 18">
                <a:extLst>
                  <a:ext uri="{FF2B5EF4-FFF2-40B4-BE49-F238E27FC236}">
                    <a16:creationId xmlns:a16="http://schemas.microsoft.com/office/drawing/2014/main" id="{10264EF7-CA28-4544-9F05-6182E318A5EE}"/>
                  </a:ext>
                </a:extLst>
              </xdr:cNvPr>
              <xdr:cNvSpPr/>
            </xdr:nvSpPr>
            <xdr:spPr>
              <a:xfrm>
                <a:off x="9010650" y="571500"/>
                <a:ext cx="2219325" cy="695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26" name="TextBox 25">
                <a:extLst>
                  <a:ext uri="{FF2B5EF4-FFF2-40B4-BE49-F238E27FC236}">
                    <a16:creationId xmlns:a16="http://schemas.microsoft.com/office/drawing/2014/main" id="{9567642C-CF46-4456-AA18-D2F4FA0A1F7D}"/>
                  </a:ext>
                </a:extLst>
              </xdr:cNvPr>
              <xdr:cNvSpPr txBox="1"/>
            </xdr:nvSpPr>
            <xdr:spPr>
              <a:xfrm>
                <a:off x="9086850" y="600075"/>
                <a:ext cx="1962150"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solidFill>
                      <a:schemeClr val="bg1"/>
                    </a:solidFill>
                  </a:rPr>
                  <a:t>Total Bank Balance</a:t>
                </a:r>
              </a:p>
            </xdr:txBody>
          </xdr:sp>
          <xdr:sp macro="" textlink="$Y$24">
            <xdr:nvSpPr>
              <xdr:cNvPr id="32" name="TextBox 31">
                <a:extLst>
                  <a:ext uri="{FF2B5EF4-FFF2-40B4-BE49-F238E27FC236}">
                    <a16:creationId xmlns:a16="http://schemas.microsoft.com/office/drawing/2014/main" id="{C34010F1-F24C-4838-9618-185A9680C01B}"/>
                  </a:ext>
                </a:extLst>
              </xdr:cNvPr>
              <xdr:cNvSpPr txBox="1"/>
            </xdr:nvSpPr>
            <xdr:spPr>
              <a:xfrm>
                <a:off x="9334500" y="866775"/>
                <a:ext cx="1428750" cy="333375"/>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287098-B4C9-4443-89F3-9A570F7DB528}" type="TxLink">
                  <a:rPr lang="en-US" sz="1600" b="1" i="0" u="none" strike="noStrike">
                    <a:solidFill>
                      <a:schemeClr val="accent2">
                        <a:lumMod val="60000"/>
                        <a:lumOff val="40000"/>
                      </a:schemeClr>
                    </a:solidFill>
                    <a:latin typeface="Calibri"/>
                    <a:cs typeface="Calibri"/>
                  </a:rPr>
                  <a:pPr algn="ctr"/>
                  <a:t>593053,15</a:t>
                </a:fld>
                <a:endParaRPr lang="en-ZA" sz="1600" b="1">
                  <a:solidFill>
                    <a:schemeClr val="accent2">
                      <a:lumMod val="60000"/>
                      <a:lumOff val="40000"/>
                    </a:schemeClr>
                  </a:solidFill>
                </a:endParaRPr>
              </a:p>
            </xdr:txBody>
          </xdr:sp>
        </xdr:grpSp>
        <xdr:grpSp>
          <xdr:nvGrpSpPr>
            <xdr:cNvPr id="40" name="Group 39">
              <a:extLst>
                <a:ext uri="{FF2B5EF4-FFF2-40B4-BE49-F238E27FC236}">
                  <a16:creationId xmlns:a16="http://schemas.microsoft.com/office/drawing/2014/main" id="{58F1BC80-32EE-4E6F-8899-CCBBB75A0046}"/>
                </a:ext>
              </a:extLst>
            </xdr:cNvPr>
            <xdr:cNvGrpSpPr/>
          </xdr:nvGrpSpPr>
          <xdr:grpSpPr>
            <a:xfrm>
              <a:off x="11220450" y="571500"/>
              <a:ext cx="2362200" cy="695326"/>
              <a:chOff x="11220450" y="571500"/>
              <a:chExt cx="2362200" cy="695326"/>
            </a:xfrm>
          </xdr:grpSpPr>
          <xdr:sp macro="" textlink="">
            <xdr:nvSpPr>
              <xdr:cNvPr id="20" name="Rectangle 19">
                <a:extLst>
                  <a:ext uri="{FF2B5EF4-FFF2-40B4-BE49-F238E27FC236}">
                    <a16:creationId xmlns:a16="http://schemas.microsoft.com/office/drawing/2014/main" id="{D9CDD76C-729C-45A8-B4FD-96BAB715DC76}"/>
                  </a:ext>
                </a:extLst>
              </xdr:cNvPr>
              <xdr:cNvSpPr/>
            </xdr:nvSpPr>
            <xdr:spPr>
              <a:xfrm>
                <a:off x="11220450" y="571500"/>
                <a:ext cx="2362200" cy="6953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27" name="TextBox 26">
                <a:extLst>
                  <a:ext uri="{FF2B5EF4-FFF2-40B4-BE49-F238E27FC236}">
                    <a16:creationId xmlns:a16="http://schemas.microsoft.com/office/drawing/2014/main" id="{CA5A6FA7-6A3A-4495-BA53-1B91CD229B4A}"/>
                  </a:ext>
                </a:extLst>
              </xdr:cNvPr>
              <xdr:cNvSpPr txBox="1"/>
            </xdr:nvSpPr>
            <xdr:spPr>
              <a:xfrm>
                <a:off x="11315700" y="600075"/>
                <a:ext cx="2181225" cy="2952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solidFill>
                      <a:schemeClr val="bg1"/>
                    </a:solidFill>
                  </a:rPr>
                  <a:t>Average Transaction Value</a:t>
                </a:r>
              </a:p>
            </xdr:txBody>
          </xdr:sp>
          <xdr:sp macro="" textlink="$Y$15">
            <xdr:nvSpPr>
              <xdr:cNvPr id="33" name="TextBox 32">
                <a:extLst>
                  <a:ext uri="{FF2B5EF4-FFF2-40B4-BE49-F238E27FC236}">
                    <a16:creationId xmlns:a16="http://schemas.microsoft.com/office/drawing/2014/main" id="{9B975E31-B495-4873-A3C2-AA4DE0B0113F}"/>
                  </a:ext>
                </a:extLst>
              </xdr:cNvPr>
              <xdr:cNvSpPr txBox="1"/>
            </xdr:nvSpPr>
            <xdr:spPr>
              <a:xfrm>
                <a:off x="11544300" y="904875"/>
                <a:ext cx="1476375" cy="34290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507434-122A-489A-8CF4-CC05CD32B2E4}" type="TxLink">
                  <a:rPr lang="en-US" sz="1600" b="1" i="0" u="none" strike="noStrike">
                    <a:solidFill>
                      <a:schemeClr val="accent2">
                        <a:lumMod val="60000"/>
                        <a:lumOff val="40000"/>
                      </a:schemeClr>
                    </a:solidFill>
                    <a:latin typeface="Calibri"/>
                    <a:cs typeface="Calibri"/>
                  </a:rPr>
                  <a:pPr algn="ctr"/>
                  <a:t>6383,42</a:t>
                </a:fld>
                <a:endParaRPr lang="en-ZA" sz="1600" b="1">
                  <a:solidFill>
                    <a:schemeClr val="accent2">
                      <a:lumMod val="60000"/>
                      <a:lumOff val="40000"/>
                    </a:schemeClr>
                  </a:solidFill>
                </a:endParaRPr>
              </a:p>
            </xdr:txBody>
          </xdr:sp>
        </xdr:grpSp>
      </xdr:grpSp>
    </xdr:grpSp>
    <xdr:clientData/>
  </xdr:twoCellAnchor>
  <xdr:twoCellAnchor>
    <xdr:from>
      <xdr:col>7</xdr:col>
      <xdr:colOff>247650</xdr:colOff>
      <xdr:row>24</xdr:row>
      <xdr:rowOff>161925</xdr:rowOff>
    </xdr:from>
    <xdr:to>
      <xdr:col>14</xdr:col>
      <xdr:colOff>381000</xdr:colOff>
      <xdr:row>38</xdr:row>
      <xdr:rowOff>28575</xdr:rowOff>
    </xdr:to>
    <xdr:graphicFrame macro="">
      <xdr:nvGraphicFramePr>
        <xdr:cNvPr id="34" name="Chart 33">
          <a:extLst>
            <a:ext uri="{FF2B5EF4-FFF2-40B4-BE49-F238E27FC236}">
              <a16:creationId xmlns:a16="http://schemas.microsoft.com/office/drawing/2014/main" id="{8D251548-CB34-41DF-914F-FE59AB3D5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2257906" refreshedDate="46260.419471412039" createdVersion="7" refreshedVersion="7" minRefreshableVersion="3" recordCount="20" xr:uid="{218B1432-0F55-4F50-8AEA-8C06CC9EF6E2}">
  <cacheSource type="worksheet">
    <worksheetSource name="vw_Dashboard"/>
  </cacheSource>
  <cacheFields count="5">
    <cacheField name="Branch_Name" numFmtId="0">
      <sharedItems count="10">
        <s v="Ballito Branch"/>
        <s v="Cape Town Central"/>
        <s v="Chatsworth Branch"/>
        <s v="Durban Central"/>
        <s v="Johannesburg Main"/>
        <s v="Pinetown Branch"/>
        <s v="Pretoria Branch"/>
        <s v="Sandton Branch"/>
        <s v="Umhlanga Branch"/>
        <s v="Westville Branch"/>
      </sharedItems>
    </cacheField>
    <cacheField name="Transaction_Classification" numFmtId="0">
      <sharedItems count="5">
        <s v="Withdrawal"/>
        <s v="Purchase"/>
        <s v="Deposit"/>
        <s v="Transfer In"/>
        <s v="Transfer Out"/>
      </sharedItems>
    </cacheField>
    <cacheField name="Transaction_Date" numFmtId="14">
      <sharedItems containsSemiMixedTypes="0" containsNonDate="0" containsDate="1" containsString="0" minDate="2026-07-20T00:00:00" maxDate="2026-08-19T00:00:00"/>
    </cacheField>
    <cacheField name="Amount" numFmtId="0">
      <sharedItems containsSemiMixedTypes="0" containsString="0" containsNumber="1" minValue="450" maxValue="75000"/>
    </cacheField>
    <cacheField name="Account_Number" numFmtId="0">
      <sharedItems containsSemiMixedTypes="0" containsString="0" containsNumber="1" containsInteger="1" minValue="1001" maxValue="10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2257906" refreshedDate="46260.419471990739" createdVersion="7" refreshedVersion="7" minRefreshableVersion="3" recordCount="12" xr:uid="{AC6902BA-AC26-418E-9981-AFC41151F729}">
  <cacheSource type="worksheet">
    <worksheetSource name="ClientRecords"/>
  </cacheSource>
  <cacheFields count="11">
    <cacheField name="Account_Number" numFmtId="0">
      <sharedItems containsSemiMixedTypes="0" containsString="0" containsNumber="1" containsInteger="1" minValue="1001" maxValue="1012"/>
    </cacheField>
    <cacheField name="First_Name" numFmtId="0">
      <sharedItems count="12">
        <s v="Bongani"/>
        <s v="Thandokuhle"/>
        <s v="James"/>
        <s v="Lerato"/>
        <s v="Fatima"/>
        <s v="David"/>
        <s v="Noluthando"/>
        <s v="Asande"/>
        <s v="Shannon"/>
        <s v="Michael"/>
        <s v="Zanele"/>
        <s v="Jason"/>
      </sharedItems>
    </cacheField>
    <cacheField name="Surname" numFmtId="0">
      <sharedItems/>
    </cacheField>
    <cacheField name="Account_Type" numFmtId="0">
      <sharedItems/>
    </cacheField>
    <cacheField name="Client_Address" numFmtId="0">
      <sharedItems/>
    </cacheField>
    <cacheField name="Date_Opened" numFmtId="14">
      <sharedItems containsSemiMixedTypes="0" containsNonDate="0" containsDate="1" containsString="0" minDate="2020-12-11T00:00:00" maxDate="2024-03-16T00:00:00" count="12">
        <d v="2023-01-15T00:00:00"/>
        <d v="2022-06-20T00:00:00"/>
        <d v="2023-03-10T00:00:00"/>
        <d v="2021-11-05T00:00:00"/>
        <d v="2024-01-12T00:00:00"/>
        <d v="2022-09-30T00:00:00"/>
        <d v="2023-07-22T00:00:00"/>
        <d v="2024-02-01T00:00:00"/>
        <d v="2021-05-18T00:00:00"/>
        <d v="2020-12-11T00:00:00"/>
        <d v="2023-10-10T00:00:00"/>
        <d v="2024-03-15T00:00:00"/>
      </sharedItems>
      <fieldGroup par="10" base="5">
        <rangePr groupBy="months" startDate="2020-12-11T00:00:00" endDate="2024-03-16T00:00:00"/>
        <groupItems count="14">
          <s v="&lt;2020/12/11"/>
          <s v="Jan"/>
          <s v="Feb"/>
          <s v="Mar"/>
          <s v="Apr"/>
          <s v="May"/>
          <s v="Jun"/>
          <s v="Jul"/>
          <s v="Aug"/>
          <s v="Sep"/>
          <s v="Oct"/>
          <s v="Nov"/>
          <s v="Dec"/>
          <s v="&gt;2024/03/16"/>
        </groupItems>
      </fieldGroup>
    </cacheField>
    <cacheField name="Account_Status" numFmtId="0">
      <sharedItems count="2">
        <s v="Active"/>
        <s v="Dormant"/>
      </sharedItems>
    </cacheField>
    <cacheField name="Account_Balance" numFmtId="0">
      <sharedItems containsSemiMixedTypes="0" containsString="0" containsNumber="1" minValue="2300.75" maxValue="250000"/>
    </cacheField>
    <cacheField name="Branch_code" numFmtId="0">
      <sharedItems containsSemiMixedTypes="0" containsString="0" containsNumber="1" containsInteger="1" minValue="101" maxValue="109" count="9">
        <n v="109"/>
        <n v="105"/>
        <n v="102"/>
        <n v="104"/>
        <n v="103"/>
        <n v="108"/>
        <n v="106"/>
        <n v="107"/>
        <n v="101"/>
      </sharedItems>
    </cacheField>
    <cacheField name="Quarters" numFmtId="0" databaseField="0">
      <fieldGroup base="5">
        <rangePr groupBy="quarters" startDate="2020-12-11T00:00:00" endDate="2024-03-16T00:00:00"/>
        <groupItems count="6">
          <s v="&lt;2020/12/11"/>
          <s v="Qtr1"/>
          <s v="Qtr2"/>
          <s v="Qtr3"/>
          <s v="Qtr4"/>
          <s v="&gt;2024/03/16"/>
        </groupItems>
      </fieldGroup>
    </cacheField>
    <cacheField name="Years" numFmtId="0" databaseField="0">
      <fieldGroup base="5">
        <rangePr groupBy="years" startDate="2020-12-11T00:00:00" endDate="2024-03-16T00:00:00"/>
        <groupItems count="7">
          <s v="&lt;2020/12/11"/>
          <s v="2020"/>
          <s v="2021"/>
          <s v="2022"/>
          <s v="2023"/>
          <s v="2024"/>
          <s v="&gt;2024/03/1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2257906" refreshedDate="46260.419472453701" createdVersion="7" refreshedVersion="7" minRefreshableVersion="3" recordCount="20" xr:uid="{45BA6DA5-480B-4E69-8EE0-4EFB0C0C2B78}">
  <cacheSource type="worksheet">
    <worksheetSource name="Trans"/>
  </cacheSource>
  <cacheFields count="7">
    <cacheField name="Transaction_id" numFmtId="0">
      <sharedItems containsSemiMixedTypes="0" containsString="0" containsNumber="1" containsInteger="1" minValue="1" maxValue="20"/>
    </cacheField>
    <cacheField name="Account_Number" numFmtId="0">
      <sharedItems containsSemiMixedTypes="0" containsString="0" containsNumber="1" containsInteger="1" minValue="1001" maxValue="1012"/>
    </cacheField>
    <cacheField name="Branch_Code" numFmtId="0">
      <sharedItems containsSemiMixedTypes="0" containsString="0" containsNumber="1" containsInteger="1" minValue="101" maxValue="110"/>
    </cacheField>
    <cacheField name="Transaction_date" numFmtId="14">
      <sharedItems containsSemiMixedTypes="0" containsNonDate="0" containsDate="1" containsString="0" minDate="2026-07-20T00:00:00" maxDate="2026-08-19T00:00:00"/>
    </cacheField>
    <cacheField name="Transaction_Classification" numFmtId="0">
      <sharedItems count="5">
        <s v="Deposit"/>
        <s v="Withdrawal"/>
        <s v="Purchase"/>
        <s v="Transfer In"/>
        <s v="Transfer Out"/>
      </sharedItems>
    </cacheField>
    <cacheField name="Payment_method" numFmtId="0">
      <sharedItems/>
    </cacheField>
    <cacheField name="Amount" numFmtId="0">
      <sharedItems containsSemiMixedTypes="0" containsString="0" containsNumber="1" minValue="450" maxValue="75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2257906" refreshedDate="46260.432009143522" backgroundQuery="1" createdVersion="7" refreshedVersion="7" minRefreshableVersion="3" recordCount="0" supportSubquery="1" supportAdvancedDrill="1" xr:uid="{04557F1A-4853-43E1-886A-E9AF39E712C3}">
  <cacheSource type="external" connectionId="5"/>
  <cacheFields count="4">
    <cacheField name="[Branches].[Region].[Region]" caption="Region" numFmtId="0" hierarchy="5" level="1">
      <sharedItems count="3">
        <s v="Gauteng"/>
        <s v="KZN"/>
        <s v="Western Cape"/>
      </sharedItems>
    </cacheField>
    <cacheField name="[Branches].[City].[City]" caption="City" numFmtId="0" hierarchy="4" level="1">
      <sharedItems count="7">
        <s v="Ballito"/>
        <s v="Cape Town"/>
        <s v="Durban"/>
        <s v="Johannesburg"/>
        <s v="Pinetown"/>
        <s v="Pretoria"/>
        <s v="Sandton"/>
      </sharedItems>
    </cacheField>
    <cacheField name="[Measures].[Count of Account_Number 2]" caption="Count of Account_Number 2" numFmtId="0" hierarchy="36" level="32767"/>
    <cacheField name="[Trans].[Transaction_Classification].[Transaction_Classification]" caption="Transaction_Classification" numFmtId="0" hierarchy="21" level="1">
      <sharedItems containsSemiMixedTypes="0" containsNonDate="0" containsString="0"/>
    </cacheField>
  </cacheFields>
  <cacheHierarchies count="38">
    <cacheHierarchy uniqueName="[Branches].[Branch_Code]" caption="Branch_Code" attribute="1" defaultMemberUniqueName="[Branches].[Branch_Code].[All]" allUniqueName="[Branches].[Branch_Code].[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cacheHierarchy uniqueName="[Branches].[Branch_Manager]" caption="Branch_Manager" attribute="1" defaultMemberUniqueName="[Branches].[Branch_Manager].[All]" allUniqueName="[Branches].[Branch_Manager].[All]" dimensionUniqueName="[Branches]" displayFolder="" count="0" memberValueDatatype="130" unbalanced="0"/>
    <cacheHierarchy uniqueName="[Branches].[Branch_Address]" caption="Branch_Address" attribute="1" defaultMemberUniqueName="[Branches].[Branch_Address].[All]" allUniqueName="[Branches].[Branch_Address].[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1"/>
      </fieldsUsage>
    </cacheHierarchy>
    <cacheHierarchy uniqueName="[Branches].[Region]" caption="Region" attribute="1" defaultMemberUniqueName="[Branches].[Region].[All]" allUniqueName="[Branches].[Region].[All]" dimensionUniqueName="[Branches]" displayFolder="" count="2" memberValueDatatype="130" unbalanced="0">
      <fieldsUsage count="2">
        <fieldUsage x="-1"/>
        <fieldUsage x="0"/>
      </fieldsUsage>
    </cacheHierarchy>
    <cacheHierarchy uniqueName="[ClientRecords].[Account_Number]" caption="Account_Number" attribute="1" defaultMemberUniqueName="[ClientRecords].[Account_Number].[All]" allUniqueName="[ClientRecords].[Account_Number].[All]" dimensionUniqueName="[ClientRecords]" displayFolder="" count="0" memberValueDatatype="20" unbalanced="0"/>
    <cacheHierarchy uniqueName="[ClientRecords].[First_Name]" caption="First_Name" attribute="1" defaultMemberUniqueName="[ClientRecords].[First_Name].[All]" allUniqueName="[ClientRecords].[First_Name].[All]" dimensionUniqueName="[ClientRecords]" displayFolder="" count="0" memberValueDatatype="130" unbalanced="0"/>
    <cacheHierarchy uniqueName="[ClientRecords].[Surname]" caption="Surname" attribute="1" defaultMemberUniqueName="[ClientRecords].[Surname].[All]" allUniqueName="[ClientRecords].[Surname].[All]" dimensionUniqueName="[ClientRecords]" displayFolder="" count="0" memberValueDatatype="130" unbalanced="0"/>
    <cacheHierarchy uniqueName="[ClientRecords].[Account_Type]" caption="Account_Type" attribute="1" defaultMemberUniqueName="[ClientRecords].[Account_Type].[All]" allUniqueName="[ClientRecords].[Account_Type].[All]" dimensionUniqueName="[ClientRecords]" displayFolder="" count="2" memberValueDatatype="130" unbalanced="0"/>
    <cacheHierarchy uniqueName="[ClientRecords].[Client_Address]" caption="Client_Address" attribute="1" defaultMemberUniqueName="[ClientRecords].[Client_Address].[All]" allUniqueName="[ClientRecords].[Client_Address].[All]" dimensionUniqueName="[ClientRecords]" displayFolder="" count="0" memberValueDatatype="130" unbalanced="0"/>
    <cacheHierarchy uniqueName="[ClientRecords].[Date_Opened]" caption="Date_Opened" attribute="1" time="1" defaultMemberUniqueName="[ClientRecords].[Date_Opened].[All]" allUniqueName="[ClientRecords].[Date_Opened].[All]" dimensionUniqueName="[ClientRecords]" displayFolder="" count="0" memberValueDatatype="7" unbalanced="0"/>
    <cacheHierarchy uniqueName="[ClientRecords].[Account_Status]" caption="Account_Status" attribute="1" defaultMemberUniqueName="[ClientRecords].[Account_Status].[All]" allUniqueName="[ClientRecords].[Account_Status].[All]" dimensionUniqueName="[ClientRecords]" displayFolder="" count="0" memberValueDatatype="130" unbalanced="0"/>
    <cacheHierarchy uniqueName="[ClientRecords].[Account_Balance]" caption="Account_Balance" attribute="1" defaultMemberUniqueName="[ClientRecords].[Account_Balance].[All]" allUniqueName="[ClientRecords].[Account_Balance].[All]" dimensionUniqueName="[ClientRecords]" displayFolder="" count="0" memberValueDatatype="5" unbalanced="0"/>
    <cacheHierarchy uniqueName="[ClientRecords].[Branch_code]" caption="Branch_code" attribute="1" defaultMemberUniqueName="[ClientRecords].[Branch_code].[All]" allUniqueName="[ClientRecords].[Branch_code].[All]" dimensionUniqueName="[ClientRecords]" displayFolder="" count="0" memberValueDatatype="20" unbalanced="0"/>
    <cacheHierarchy uniqueName="[ClientRecords].[Date_Opened (Year)]" caption="Date_Opened (Year)" attribute="1" defaultMemberUniqueName="[ClientRecords].[Date_Opened (Year)].[All]" allUniqueName="[ClientRecords].[Date_Opened (Year)].[All]" dimensionUniqueName="[ClientRecords]" displayFolder="" count="0" memberValueDatatype="130" unbalanced="0"/>
    <cacheHierarchy uniqueName="[ClientRecords].[Date_Opened (Month)]" caption="Date_Opened (Month)" attribute="1" defaultMemberUniqueName="[ClientRecords].[Date_Opened (Month)].[All]" allUniqueName="[ClientRecords].[Date_Opened (Month)].[All]" dimensionUniqueName="[ClientRecords]" displayFolder="" count="0" memberValueDatatype="13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Account_Number]" caption="Account_Number" attribute="1" defaultMemberUniqueName="[Trans].[Account_Number].[All]" allUniqueName="[Trans].[Account_Number].[All]" dimensionUniqueName="[Trans]" displayFolder="" count="0" memberValueDatatype="20" unbalanced="0"/>
    <cacheHierarchy uniqueName="[Trans].[Branch_Code]" caption="Branch_Code" attribute="1" defaultMemberUniqueName="[Trans].[Branch_Code].[All]" allUniqueName="[Trans].[Branch_Code].[All]" dimensionUniqueName="[Trans]" displayFolder="" count="0" memberValueDatatype="20" unbalanced="0"/>
    <cacheHierarchy uniqueName="[Trans].[Transaction_date]" caption="Transaction_date" attribute="1" time="1" defaultMemberUniqueName="[Trans].[Transaction_date].[All]" allUniqueName="[Trans].[Transaction_date].[All]" dimensionUniqueName="[Trans]" displayFolder="" count="0" memberValueDatatype="7" unbalanced="0"/>
    <cacheHierarchy uniqueName="[Trans].[Transaction_Classification]" caption="Transaction_Classification" attribute="1" defaultMemberUniqueName="[Trans].[Transaction_Classification].[All]" allUniqueName="[Trans].[Transaction_Classification].[All]" dimensionUniqueName="[Trans]" displayFolder="" count="2" memberValueDatatype="130" unbalanced="0">
      <fieldsUsage count="2">
        <fieldUsage x="-1"/>
        <fieldUsage x="3"/>
      </fieldsUsage>
    </cacheHierarchy>
    <cacheHierarchy uniqueName="[Trans].[Payment_method]" caption="Payment_method" attribute="1" defaultMemberUniqueName="[Trans].[Payment_method].[All]" allUniqueName="[Trans].[Payment_method].[All]" dimensionUniqueName="[Trans]" displayFolder="" count="2" memberValueDatatype="130" unbalanced="0"/>
    <cacheHierarchy uniqueName="[Trans].[Amount]" caption="Amount" attribute="1" defaultMemberUniqueName="[Trans].[Amount].[All]" allUniqueName="[Trans].[Amount].[All]" dimensionUniqueName="[Trans]" displayFolder="" count="0" memberValueDatatype="5" unbalanced="0"/>
    <cacheHierarchy uniqueName="[ClientRecords].[Date_Opened (Month Index)]" caption="Date_Opened (Month Index)" attribute="1" defaultMemberUniqueName="[ClientRecords].[Date_Opened (Month Index)].[All]" allUniqueName="[ClientRecords].[Date_Opened (Month Index)].[All]" dimensionUniqueName="[ClientRecords]" displayFolder="" count="0" memberValueDatatype="20" unbalanced="0" hidden="1"/>
    <cacheHierarchy uniqueName="[Measures].[__XL_Count Branches]" caption="__XL_Count Branches" measure="1" displayFolder="" measureGroup="Branches" count="0" hidden="1"/>
    <cacheHierarchy uniqueName="[Measures].[__XL_Count ClientRecords]" caption="__XL_Count ClientRecords" measure="1" displayFolder="" measureGroup="ClientRecord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Account_Number]" caption="Sum of Account_Number" measure="1" displayFolder="" measureGroup="ClientRecords" count="0" hidden="1">
      <extLst>
        <ext xmlns:x15="http://schemas.microsoft.com/office/spreadsheetml/2010/11/main" uri="{B97F6D7D-B522-45F9-BDA1-12C45D357490}">
          <x15:cacheHierarchy aggregatedColumn="6"/>
        </ext>
      </extLst>
    </cacheHierarchy>
    <cacheHierarchy uniqueName="[Measures].[Count of Transaction_Classification]" caption="Count of Transaction_Classification" measure="1" displayFolder="" measureGroup="Trans" count="0" hidden="1">
      <extLst>
        <ext xmlns:x15="http://schemas.microsoft.com/office/spreadsheetml/2010/11/main" uri="{B97F6D7D-B522-45F9-BDA1-12C45D357490}">
          <x15:cacheHierarchy aggregatedColumn="21"/>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17"/>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17"/>
        </ext>
      </extLst>
    </cacheHierarchy>
    <cacheHierarchy uniqueName="[Measures].[Sum of Account_Number 2]" caption="Sum of Account_Number 2" measure="1" displayFolder="" measureGroup="Trans" count="0" hidden="1">
      <extLst>
        <ext xmlns:x15="http://schemas.microsoft.com/office/spreadsheetml/2010/11/main" uri="{B97F6D7D-B522-45F9-BDA1-12C45D357490}">
          <x15:cacheHierarchy aggregatedColumn="18"/>
        </ext>
      </extLst>
    </cacheHierarchy>
    <cacheHierarchy uniqueName="[Measures].[Count of Account_Number]" caption="Count of Account_Number" measure="1" displayFolder="" measureGroup="Trans"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Branches" count="0" hidden="1">
      <extLst>
        <ext xmlns:x15="http://schemas.microsoft.com/office/spreadsheetml/2010/11/main" uri="{B97F6D7D-B522-45F9-BDA1-12C45D357490}">
          <x15:cacheHierarchy aggregatedColumn="4"/>
        </ext>
      </extLst>
    </cacheHierarchy>
    <cacheHierarchy uniqueName="[Measures].[Count of Account_Number 2]" caption="Count of Account_Number 2" measure="1" displayFolder="" measureGroup="ClientRecords"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Account_Balance]" caption="Sum of Account_Balance" measure="1" displayFolder="" measureGroup="ClientRecords" count="0" hidden="1">
      <extLst>
        <ext xmlns:x15="http://schemas.microsoft.com/office/spreadsheetml/2010/11/main" uri="{B97F6D7D-B522-45F9-BDA1-12C45D357490}">
          <x15:cacheHierarchy aggregatedColumn="13"/>
        </ext>
      </extLst>
    </cacheHierarchy>
  </cacheHierarchies>
  <kpis count="0"/>
  <dimensions count="4">
    <dimension name="Branches" uniqueName="[Branches]" caption="Branches"/>
    <dimension name="ClientRecords" uniqueName="[ClientRecords]" caption="ClientRecords"/>
    <dimension measure="1" name="Measures" uniqueName="[Measures]" caption="Measures"/>
    <dimension name="Trans" uniqueName="[Trans]" caption="Trans"/>
  </dimensions>
  <measureGroups count="3">
    <measureGroup name="Branches" caption="Branches"/>
    <measureGroup name="ClientRecords" caption="ClientRecords"/>
    <measureGroup name="Trans" caption="Trans"/>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2257906" refreshedDate="46260.432009490738" backgroundQuery="1" createdVersion="7" refreshedVersion="7" minRefreshableVersion="3" recordCount="0" supportSubquery="1" supportAdvancedDrill="1" xr:uid="{1AE4FABC-4F7D-433C-A1B4-BDB66F88CD8D}">
  <cacheSource type="external" connectionId="5"/>
  <cacheFields count="3">
    <cacheField name="[Branches].[Branch_Name].[Branch_Name]" caption="Branch_Name" numFmtId="0" hierarchy="1" level="1">
      <sharedItems count="9">
        <s v="Ballito Branch"/>
        <s v="Cape Town Central"/>
        <s v="Chatsworth Branch"/>
        <s v="Durban Central"/>
        <s v="Johannesburg Main"/>
        <s v="Pinetown Branch"/>
        <s v="Pretoria Branch"/>
        <s v="Sandton Branch"/>
        <s v="Umhlanga Branch"/>
      </sharedItems>
    </cacheField>
    <cacheField name="[Measures].[Sum of Account_Number]" caption="Sum of Account_Number" numFmtId="0" hierarchy="29" level="32767"/>
    <cacheField name="[Trans].[Transaction_Classification].[Transaction_Classification]" caption="Transaction_Classification" numFmtId="0" hierarchy="21" level="1">
      <sharedItems containsSemiMixedTypes="0" containsNonDate="0" containsString="0"/>
    </cacheField>
  </cacheFields>
  <cacheHierarchies count="38">
    <cacheHierarchy uniqueName="[Branches].[Branch_Code]" caption="Branch_Code" attribute="1" defaultMemberUniqueName="[Branches].[Branch_Code].[All]" allUniqueName="[Branches].[Branch_Code].[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Branch_Manager]" caption="Branch_Manager" attribute="1" defaultMemberUniqueName="[Branches].[Branch_Manager].[All]" allUniqueName="[Branches].[Branch_Manager].[All]" dimensionUniqueName="[Branches]" displayFolder="" count="0" memberValueDatatype="130" unbalanced="0"/>
    <cacheHierarchy uniqueName="[Branches].[Branch_Address]" caption="Branch_Address" attribute="1" defaultMemberUniqueName="[Branches].[Branch_Address].[All]" allUniqueName="[Branches].[Branch_Address].[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ClientRecords].[Account_Number]" caption="Account_Number" attribute="1" defaultMemberUniqueName="[ClientRecords].[Account_Number].[All]" allUniqueName="[ClientRecords].[Account_Number].[All]" dimensionUniqueName="[ClientRecords]" displayFolder="" count="0" memberValueDatatype="20" unbalanced="0"/>
    <cacheHierarchy uniqueName="[ClientRecords].[First_Name]" caption="First_Name" attribute="1" defaultMemberUniqueName="[ClientRecords].[First_Name].[All]" allUniqueName="[ClientRecords].[First_Name].[All]" dimensionUniqueName="[ClientRecords]" displayFolder="" count="0" memberValueDatatype="130" unbalanced="0"/>
    <cacheHierarchy uniqueName="[ClientRecords].[Surname]" caption="Surname" attribute="1" defaultMemberUniqueName="[ClientRecords].[Surname].[All]" allUniqueName="[ClientRecords].[Surname].[All]" dimensionUniqueName="[ClientRecords]" displayFolder="" count="0" memberValueDatatype="130" unbalanced="0"/>
    <cacheHierarchy uniqueName="[ClientRecords].[Account_Type]" caption="Account_Type" attribute="1" defaultMemberUniqueName="[ClientRecords].[Account_Type].[All]" allUniqueName="[ClientRecords].[Account_Type].[All]" dimensionUniqueName="[ClientRecords]" displayFolder="" count="2" memberValueDatatype="130" unbalanced="0"/>
    <cacheHierarchy uniqueName="[ClientRecords].[Client_Address]" caption="Client_Address" attribute="1" defaultMemberUniqueName="[ClientRecords].[Client_Address].[All]" allUniqueName="[ClientRecords].[Client_Address].[All]" dimensionUniqueName="[ClientRecords]" displayFolder="" count="0" memberValueDatatype="130" unbalanced="0"/>
    <cacheHierarchy uniqueName="[ClientRecords].[Date_Opened]" caption="Date_Opened" attribute="1" time="1" defaultMemberUniqueName="[ClientRecords].[Date_Opened].[All]" allUniqueName="[ClientRecords].[Date_Opened].[All]" dimensionUniqueName="[ClientRecords]" displayFolder="" count="0" memberValueDatatype="7" unbalanced="0"/>
    <cacheHierarchy uniqueName="[ClientRecords].[Account_Status]" caption="Account_Status" attribute="1" defaultMemberUniqueName="[ClientRecords].[Account_Status].[All]" allUniqueName="[ClientRecords].[Account_Status].[All]" dimensionUniqueName="[ClientRecords]" displayFolder="" count="0" memberValueDatatype="130" unbalanced="0"/>
    <cacheHierarchy uniqueName="[ClientRecords].[Account_Balance]" caption="Account_Balance" attribute="1" defaultMemberUniqueName="[ClientRecords].[Account_Balance].[All]" allUniqueName="[ClientRecords].[Account_Balance].[All]" dimensionUniqueName="[ClientRecords]" displayFolder="" count="0" memberValueDatatype="5" unbalanced="0"/>
    <cacheHierarchy uniqueName="[ClientRecords].[Branch_code]" caption="Branch_code" attribute="1" defaultMemberUniqueName="[ClientRecords].[Branch_code].[All]" allUniqueName="[ClientRecords].[Branch_code].[All]" dimensionUniqueName="[ClientRecords]" displayFolder="" count="0" memberValueDatatype="20" unbalanced="0"/>
    <cacheHierarchy uniqueName="[ClientRecords].[Date_Opened (Year)]" caption="Date_Opened (Year)" attribute="1" defaultMemberUniqueName="[ClientRecords].[Date_Opened (Year)].[All]" allUniqueName="[ClientRecords].[Date_Opened (Year)].[All]" dimensionUniqueName="[ClientRecords]" displayFolder="" count="0" memberValueDatatype="130" unbalanced="0"/>
    <cacheHierarchy uniqueName="[ClientRecords].[Date_Opened (Month)]" caption="Date_Opened (Month)" attribute="1" defaultMemberUniqueName="[ClientRecords].[Date_Opened (Month)].[All]" allUniqueName="[ClientRecords].[Date_Opened (Month)].[All]" dimensionUniqueName="[ClientRecords]" displayFolder="" count="0" memberValueDatatype="13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Account_Number]" caption="Account_Number" attribute="1" defaultMemberUniqueName="[Trans].[Account_Number].[All]" allUniqueName="[Trans].[Account_Number].[All]" dimensionUniqueName="[Trans]" displayFolder="" count="0" memberValueDatatype="20" unbalanced="0"/>
    <cacheHierarchy uniqueName="[Trans].[Branch_Code]" caption="Branch_Code" attribute="1" defaultMemberUniqueName="[Trans].[Branch_Code].[All]" allUniqueName="[Trans].[Branch_Code].[All]" dimensionUniqueName="[Trans]" displayFolder="" count="0" memberValueDatatype="20" unbalanced="0"/>
    <cacheHierarchy uniqueName="[Trans].[Transaction_date]" caption="Transaction_date" attribute="1" time="1" defaultMemberUniqueName="[Trans].[Transaction_date].[All]" allUniqueName="[Trans].[Transaction_date].[All]" dimensionUniqueName="[Trans]" displayFolder="" count="0" memberValueDatatype="7" unbalanced="0"/>
    <cacheHierarchy uniqueName="[Trans].[Transaction_Classification]" caption="Transaction_Classification" attribute="1" defaultMemberUniqueName="[Trans].[Transaction_Classification].[All]" allUniqueName="[Trans].[Transaction_Classification].[All]" dimensionUniqueName="[Trans]" displayFolder="" count="2" memberValueDatatype="130" unbalanced="0">
      <fieldsUsage count="2">
        <fieldUsage x="-1"/>
        <fieldUsage x="2"/>
      </fieldsUsage>
    </cacheHierarchy>
    <cacheHierarchy uniqueName="[Trans].[Payment_method]" caption="Payment_method" attribute="1" defaultMemberUniqueName="[Trans].[Payment_method].[All]" allUniqueName="[Trans].[Payment_method].[All]" dimensionUniqueName="[Trans]" displayFolder="" count="2" memberValueDatatype="130" unbalanced="0"/>
    <cacheHierarchy uniqueName="[Trans].[Amount]" caption="Amount" attribute="1" defaultMemberUniqueName="[Trans].[Amount].[All]" allUniqueName="[Trans].[Amount].[All]" dimensionUniqueName="[Trans]" displayFolder="" count="0" memberValueDatatype="5" unbalanced="0"/>
    <cacheHierarchy uniqueName="[ClientRecords].[Date_Opened (Month Index)]" caption="Date_Opened (Month Index)" attribute="1" defaultMemberUniqueName="[ClientRecords].[Date_Opened (Month Index)].[All]" allUniqueName="[ClientRecords].[Date_Opened (Month Index)].[All]" dimensionUniqueName="[ClientRecords]" displayFolder="" count="0" memberValueDatatype="20" unbalanced="0" hidden="1"/>
    <cacheHierarchy uniqueName="[Measures].[__XL_Count Branches]" caption="__XL_Count Branches" measure="1" displayFolder="" measureGroup="Branches" count="0" hidden="1"/>
    <cacheHierarchy uniqueName="[Measures].[__XL_Count ClientRecords]" caption="__XL_Count ClientRecords" measure="1" displayFolder="" measureGroup="ClientRecord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Account_Number]" caption="Sum of Account_Number" measure="1" displayFolder="" measureGroup="ClientRecord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Transaction_Classification]" caption="Count of Transaction_Classification" measure="1" displayFolder="" measureGroup="Trans" count="0" hidden="1">
      <extLst>
        <ext xmlns:x15="http://schemas.microsoft.com/office/spreadsheetml/2010/11/main" uri="{B97F6D7D-B522-45F9-BDA1-12C45D357490}">
          <x15:cacheHierarchy aggregatedColumn="21"/>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17"/>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17"/>
        </ext>
      </extLst>
    </cacheHierarchy>
    <cacheHierarchy uniqueName="[Measures].[Sum of Account_Number 2]" caption="Sum of Account_Number 2" measure="1" displayFolder="" measureGroup="Trans" count="0" hidden="1">
      <extLst>
        <ext xmlns:x15="http://schemas.microsoft.com/office/spreadsheetml/2010/11/main" uri="{B97F6D7D-B522-45F9-BDA1-12C45D357490}">
          <x15:cacheHierarchy aggregatedColumn="18"/>
        </ext>
      </extLst>
    </cacheHierarchy>
    <cacheHierarchy uniqueName="[Measures].[Count of Account_Number]" caption="Count of Account_Number" measure="1" displayFolder="" measureGroup="Trans"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Branches" count="0" hidden="1">
      <extLst>
        <ext xmlns:x15="http://schemas.microsoft.com/office/spreadsheetml/2010/11/main" uri="{B97F6D7D-B522-45F9-BDA1-12C45D357490}">
          <x15:cacheHierarchy aggregatedColumn="4"/>
        </ext>
      </extLst>
    </cacheHierarchy>
    <cacheHierarchy uniqueName="[Measures].[Count of Account_Number 2]" caption="Count of Account_Number 2" measure="1" displayFolder="" measureGroup="ClientRecords" count="0" hidden="1">
      <extLst>
        <ext xmlns:x15="http://schemas.microsoft.com/office/spreadsheetml/2010/11/main" uri="{B97F6D7D-B522-45F9-BDA1-12C45D357490}">
          <x15:cacheHierarchy aggregatedColumn="6"/>
        </ext>
      </extLst>
    </cacheHierarchy>
    <cacheHierarchy uniqueName="[Measures].[Sum of Account_Balance]" caption="Sum of Account_Balance" measure="1" displayFolder="" measureGroup="ClientRecords" count="0" hidden="1">
      <extLst>
        <ext xmlns:x15="http://schemas.microsoft.com/office/spreadsheetml/2010/11/main" uri="{B97F6D7D-B522-45F9-BDA1-12C45D357490}">
          <x15:cacheHierarchy aggregatedColumn="13"/>
        </ext>
      </extLst>
    </cacheHierarchy>
  </cacheHierarchies>
  <kpis count="0"/>
  <dimensions count="4">
    <dimension name="Branches" uniqueName="[Branches]" caption="Branches"/>
    <dimension name="ClientRecords" uniqueName="[ClientRecords]" caption="ClientRecords"/>
    <dimension measure="1" name="Measures" uniqueName="[Measures]" caption="Measures"/>
    <dimension name="Trans" uniqueName="[Trans]" caption="Trans"/>
  </dimensions>
  <measureGroups count="3">
    <measureGroup name="Branches" caption="Branches"/>
    <measureGroup name="ClientRecords" caption="ClientRecords"/>
    <measureGroup name="Trans" caption="Trans"/>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2257906" refreshedDate="46260.432008564814" backgroundQuery="1" createdVersion="7" refreshedVersion="7" minRefreshableVersion="3" recordCount="0" supportSubquery="1" supportAdvancedDrill="1" xr:uid="{70D21517-90DE-49EA-8D71-E506D257B9EC}">
  <cacheSource type="external" connectionId="5"/>
  <cacheFields count="3">
    <cacheField name="[Measures].[Sum of Account_Balance]" caption="Sum of Account_Balance" numFmtId="0" hierarchy="37" level="32767"/>
    <cacheField name="[Branches].[Branch_Name].[Branch_Name]" caption="Branch_Name" numFmtId="0" hierarchy="1" level="1">
      <sharedItems count="9">
        <s v="Ballito Branch"/>
        <s v="Cape Town Central"/>
        <s v="Chatsworth Branch"/>
        <s v="Durban Central"/>
        <s v="Johannesburg Main"/>
        <s v="Pinetown Branch"/>
        <s v="Pretoria Branch"/>
        <s v="Sandton Branch"/>
        <s v="Umhlanga Branch"/>
      </sharedItems>
    </cacheField>
    <cacheField name="[Trans].[Transaction_Classification].[Transaction_Classification]" caption="Transaction_Classification" numFmtId="0" hierarchy="21" level="1">
      <sharedItems containsSemiMixedTypes="0" containsNonDate="0" containsString="0"/>
    </cacheField>
  </cacheFields>
  <cacheHierarchies count="38">
    <cacheHierarchy uniqueName="[Branches].[Branch_Code]" caption="Branch_Code" attribute="1" defaultMemberUniqueName="[Branches].[Branch_Code].[All]" allUniqueName="[Branches].[Branch_Code].[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Branch_Manager]" caption="Branch_Manager" attribute="1" defaultMemberUniqueName="[Branches].[Branch_Manager].[All]" allUniqueName="[Branches].[Branch_Manager].[All]" dimensionUniqueName="[Branches]" displayFolder="" count="0" memberValueDatatype="130" unbalanced="0"/>
    <cacheHierarchy uniqueName="[Branches].[Branch_Address]" caption="Branch_Address" attribute="1" defaultMemberUniqueName="[Branches].[Branch_Address].[All]" allUniqueName="[Branches].[Branch_Address].[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Region]" caption="Region" attribute="1" defaultMemberUniqueName="[Branches].[Region].[All]" allUniqueName="[Branches].[Region].[All]" dimensionUniqueName="[Branches]" displayFolder="" count="0" memberValueDatatype="130" unbalanced="0"/>
    <cacheHierarchy uniqueName="[ClientRecords].[Account_Number]" caption="Account_Number" attribute="1" defaultMemberUniqueName="[ClientRecords].[Account_Number].[All]" allUniqueName="[ClientRecords].[Account_Number].[All]" dimensionUniqueName="[ClientRecords]" displayFolder="" count="0" memberValueDatatype="20" unbalanced="0"/>
    <cacheHierarchy uniqueName="[ClientRecords].[First_Name]" caption="First_Name" attribute="1" defaultMemberUniqueName="[ClientRecords].[First_Name].[All]" allUniqueName="[ClientRecords].[First_Name].[All]" dimensionUniqueName="[ClientRecords]" displayFolder="" count="0" memberValueDatatype="130" unbalanced="0"/>
    <cacheHierarchy uniqueName="[ClientRecords].[Surname]" caption="Surname" attribute="1" defaultMemberUniqueName="[ClientRecords].[Surname].[All]" allUniqueName="[ClientRecords].[Surname].[All]" dimensionUniqueName="[ClientRecords]" displayFolder="" count="0" memberValueDatatype="130" unbalanced="0"/>
    <cacheHierarchy uniqueName="[ClientRecords].[Account_Type]" caption="Account_Type" attribute="1" defaultMemberUniqueName="[ClientRecords].[Account_Type].[All]" allUniqueName="[ClientRecords].[Account_Type].[All]" dimensionUniqueName="[ClientRecords]" displayFolder="" count="2" memberValueDatatype="130" unbalanced="0"/>
    <cacheHierarchy uniqueName="[ClientRecords].[Client_Address]" caption="Client_Address" attribute="1" defaultMemberUniqueName="[ClientRecords].[Client_Address].[All]" allUniqueName="[ClientRecords].[Client_Address].[All]" dimensionUniqueName="[ClientRecords]" displayFolder="" count="0" memberValueDatatype="130" unbalanced="0"/>
    <cacheHierarchy uniqueName="[ClientRecords].[Date_Opened]" caption="Date_Opened" attribute="1" time="1" defaultMemberUniqueName="[ClientRecords].[Date_Opened].[All]" allUniqueName="[ClientRecords].[Date_Opened].[All]" dimensionUniqueName="[ClientRecords]" displayFolder="" count="0" memberValueDatatype="7" unbalanced="0"/>
    <cacheHierarchy uniqueName="[ClientRecords].[Account_Status]" caption="Account_Status" attribute="1" defaultMemberUniqueName="[ClientRecords].[Account_Status].[All]" allUniqueName="[ClientRecords].[Account_Status].[All]" dimensionUniqueName="[ClientRecords]" displayFolder="" count="0" memberValueDatatype="130" unbalanced="0"/>
    <cacheHierarchy uniqueName="[ClientRecords].[Account_Balance]" caption="Account_Balance" attribute="1" defaultMemberUniqueName="[ClientRecords].[Account_Balance].[All]" allUniqueName="[ClientRecords].[Account_Balance].[All]" dimensionUniqueName="[ClientRecords]" displayFolder="" count="0" memberValueDatatype="5" unbalanced="0"/>
    <cacheHierarchy uniqueName="[ClientRecords].[Branch_code]" caption="Branch_code" attribute="1" defaultMemberUniqueName="[ClientRecords].[Branch_code].[All]" allUniqueName="[ClientRecords].[Branch_code].[All]" dimensionUniqueName="[ClientRecords]" displayFolder="" count="2" memberValueDatatype="20" unbalanced="0"/>
    <cacheHierarchy uniqueName="[ClientRecords].[Date_Opened (Year)]" caption="Date_Opened (Year)" attribute="1" defaultMemberUniqueName="[ClientRecords].[Date_Opened (Year)].[All]" allUniqueName="[ClientRecords].[Date_Opened (Year)].[All]" dimensionUniqueName="[ClientRecords]" displayFolder="" count="0" memberValueDatatype="130" unbalanced="0"/>
    <cacheHierarchy uniqueName="[ClientRecords].[Date_Opened (Month)]" caption="Date_Opened (Month)" attribute="1" defaultMemberUniqueName="[ClientRecords].[Date_Opened (Month)].[All]" allUniqueName="[ClientRecords].[Date_Opened (Month)].[All]" dimensionUniqueName="[ClientRecords]" displayFolder="" count="0" memberValueDatatype="13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Account_Number]" caption="Account_Number" attribute="1" defaultMemberUniqueName="[Trans].[Account_Number].[All]" allUniqueName="[Trans].[Account_Number].[All]" dimensionUniqueName="[Trans]" displayFolder="" count="0" memberValueDatatype="20" unbalanced="0"/>
    <cacheHierarchy uniqueName="[Trans].[Branch_Code]" caption="Branch_Code" attribute="1" defaultMemberUniqueName="[Trans].[Branch_Code].[All]" allUniqueName="[Trans].[Branch_Code].[All]" dimensionUniqueName="[Trans]" displayFolder="" count="0" memberValueDatatype="20" unbalanced="0"/>
    <cacheHierarchy uniqueName="[Trans].[Transaction_date]" caption="Transaction_date" attribute="1" time="1" defaultMemberUniqueName="[Trans].[Transaction_date].[All]" allUniqueName="[Trans].[Transaction_date].[All]" dimensionUniqueName="[Trans]" displayFolder="" count="0" memberValueDatatype="7" unbalanced="0"/>
    <cacheHierarchy uniqueName="[Trans].[Transaction_Classification]" caption="Transaction_Classification" attribute="1" defaultMemberUniqueName="[Trans].[Transaction_Classification].[All]" allUniqueName="[Trans].[Transaction_Classification].[All]" dimensionUniqueName="[Trans]" displayFolder="" count="2" memberValueDatatype="130" unbalanced="0">
      <fieldsUsage count="2">
        <fieldUsage x="-1"/>
        <fieldUsage x="2"/>
      </fieldsUsage>
    </cacheHierarchy>
    <cacheHierarchy uniqueName="[Trans].[Payment_method]" caption="Payment_method" attribute="1" defaultMemberUniqueName="[Trans].[Payment_method].[All]" allUniqueName="[Trans].[Payment_method].[All]" dimensionUniqueName="[Trans]" displayFolder="" count="2" memberValueDatatype="130" unbalanced="0"/>
    <cacheHierarchy uniqueName="[Trans].[Amount]" caption="Amount" attribute="1" defaultMemberUniqueName="[Trans].[Amount].[All]" allUniqueName="[Trans].[Amount].[All]" dimensionUniqueName="[Trans]" displayFolder="" count="0" memberValueDatatype="5" unbalanced="0"/>
    <cacheHierarchy uniqueName="[ClientRecords].[Date_Opened (Month Index)]" caption="Date_Opened (Month Index)" attribute="1" defaultMemberUniqueName="[ClientRecords].[Date_Opened (Month Index)].[All]" allUniqueName="[ClientRecords].[Date_Opened (Month Index)].[All]" dimensionUniqueName="[ClientRecords]" displayFolder="" count="0" memberValueDatatype="20" unbalanced="0" hidden="1"/>
    <cacheHierarchy uniqueName="[Measures].[__XL_Count Branches]" caption="__XL_Count Branches" measure="1" displayFolder="" measureGroup="Branches" count="0" hidden="1"/>
    <cacheHierarchy uniqueName="[Measures].[__XL_Count ClientRecords]" caption="__XL_Count ClientRecords" measure="1" displayFolder="" measureGroup="ClientRecord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Account_Number]" caption="Sum of Account_Number" measure="1" displayFolder="" measureGroup="ClientRecords" count="0" hidden="1">
      <extLst>
        <ext xmlns:x15="http://schemas.microsoft.com/office/spreadsheetml/2010/11/main" uri="{B97F6D7D-B522-45F9-BDA1-12C45D357490}">
          <x15:cacheHierarchy aggregatedColumn="6"/>
        </ext>
      </extLst>
    </cacheHierarchy>
    <cacheHierarchy uniqueName="[Measures].[Count of Transaction_Classification]" caption="Count of Transaction_Classification" measure="1" displayFolder="" measureGroup="Trans" count="0" hidden="1">
      <extLst>
        <ext xmlns:x15="http://schemas.microsoft.com/office/spreadsheetml/2010/11/main" uri="{B97F6D7D-B522-45F9-BDA1-12C45D357490}">
          <x15:cacheHierarchy aggregatedColumn="21"/>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17"/>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17"/>
        </ext>
      </extLst>
    </cacheHierarchy>
    <cacheHierarchy uniqueName="[Measures].[Sum of Account_Number 2]" caption="Sum of Account_Number 2" measure="1" displayFolder="" measureGroup="Trans" count="0" hidden="1">
      <extLst>
        <ext xmlns:x15="http://schemas.microsoft.com/office/spreadsheetml/2010/11/main" uri="{B97F6D7D-B522-45F9-BDA1-12C45D357490}">
          <x15:cacheHierarchy aggregatedColumn="18"/>
        </ext>
      </extLst>
    </cacheHierarchy>
    <cacheHierarchy uniqueName="[Measures].[Count of Account_Number]" caption="Count of Account_Number" measure="1" displayFolder="" measureGroup="Trans"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Branches" count="0" hidden="1">
      <extLst>
        <ext xmlns:x15="http://schemas.microsoft.com/office/spreadsheetml/2010/11/main" uri="{B97F6D7D-B522-45F9-BDA1-12C45D357490}">
          <x15:cacheHierarchy aggregatedColumn="4"/>
        </ext>
      </extLst>
    </cacheHierarchy>
    <cacheHierarchy uniqueName="[Measures].[Count of Account_Number 2]" caption="Count of Account_Number 2" measure="1" displayFolder="" measureGroup="ClientRecords" count="0" hidden="1">
      <extLst>
        <ext xmlns:x15="http://schemas.microsoft.com/office/spreadsheetml/2010/11/main" uri="{B97F6D7D-B522-45F9-BDA1-12C45D357490}">
          <x15:cacheHierarchy aggregatedColumn="6"/>
        </ext>
      </extLst>
    </cacheHierarchy>
    <cacheHierarchy uniqueName="[Measures].[Sum of Account_Balance]" caption="Sum of Account_Balance" measure="1" displayFolder="" measureGroup="ClientRecords"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4">
    <dimension name="Branches" uniqueName="[Branches]" caption="Branches"/>
    <dimension name="ClientRecords" uniqueName="[ClientRecords]" caption="ClientRecords"/>
    <dimension measure="1" name="Measures" uniqueName="[Measures]" caption="Measures"/>
    <dimension name="Trans" uniqueName="[Trans]" caption="Trans"/>
  </dimensions>
  <measureGroups count="3">
    <measureGroup name="Branches" caption="Branches"/>
    <measureGroup name="ClientRecords" caption="ClientRecords"/>
    <measureGroup name="Trans" caption="Trans"/>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2257906" refreshedDate="46260.432009953707" backgroundQuery="1" createdVersion="7" refreshedVersion="7" minRefreshableVersion="3" recordCount="0" supportSubquery="1" supportAdvancedDrill="1" xr:uid="{2902D2B9-5050-49D9-A5DA-BA074863DED9}">
  <cacheSource type="external" connectionId="5"/>
  <cacheFields count="5">
    <cacheField name="[ClientRecords].[Date_Opened].[Date_Opened]" caption="Date_Opened" numFmtId="0" hierarchy="11" level="1">
      <sharedItems containsSemiMixedTypes="0" containsNonDate="0" containsDate="1" containsString="0" minDate="2020-12-11T00:00:00" maxDate="2024-03-16T00:00:00" count="12">
        <d v="2020-12-11T00:00:00"/>
        <d v="2021-05-18T00:00:00"/>
        <d v="2021-11-05T00:00:00"/>
        <d v="2022-06-20T00:00:00"/>
        <d v="2022-09-30T00:00:00"/>
        <d v="2023-01-15T00:00:00"/>
        <d v="2023-03-10T00:00:00"/>
        <d v="2023-07-22T00:00:00"/>
        <d v="2023-10-10T00:00:00"/>
        <d v="2024-01-12T00:00:00"/>
        <d v="2024-02-01T00:00:00"/>
        <d v="2024-03-15T00:00:00"/>
      </sharedItems>
    </cacheField>
    <cacheField name="[Trans].[Transaction_Classification].[Transaction_Classification]" caption="Transaction_Classification" numFmtId="0" hierarchy="21" level="1">
      <sharedItems count="5">
        <s v="Deposit"/>
        <s v="Purchase"/>
        <s v="Transfer In"/>
        <s v="Transfer Out"/>
        <s v="Withdrawal"/>
      </sharedItems>
    </cacheField>
    <cacheField name="[Measures].[Count of Account_Number]" caption="Count of Account_Number" numFmtId="0" hierarchy="34" level="32767"/>
    <cacheField name="[ClientRecords].[Date_Opened (Month)].[Date_Opened (Month)]" caption="Date_Opened (Month)" numFmtId="0" hierarchy="16" level="1">
      <sharedItems count="10">
        <s v="Dec"/>
        <s v="May"/>
        <s v="Nov"/>
        <s v="Jun"/>
        <s v="Sep"/>
        <s v="Jan"/>
        <s v="Mar"/>
        <s v="Jul"/>
        <s v="Oct"/>
        <s v="Feb"/>
      </sharedItems>
    </cacheField>
    <cacheField name="[ClientRecords].[Date_Opened (Year)].[Date_Opened (Year)]" caption="Date_Opened (Year)" numFmtId="0" hierarchy="15" level="1">
      <sharedItems count="5">
        <s v="2020"/>
        <s v="2021"/>
        <s v="2022"/>
        <s v="2023"/>
        <s v="2024"/>
      </sharedItems>
    </cacheField>
  </cacheFields>
  <cacheHierarchies count="38">
    <cacheHierarchy uniqueName="[Branches].[Branch_Code]" caption="Branch_Code" attribute="1" defaultMemberUniqueName="[Branches].[Branch_Code].[All]" allUniqueName="[Branches].[Branch_Code].[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cacheHierarchy uniqueName="[Branches].[Branch_Manager]" caption="Branch_Manager" attribute="1" defaultMemberUniqueName="[Branches].[Branch_Manager].[All]" allUniqueName="[Branches].[Branch_Manager].[All]" dimensionUniqueName="[Branches]" displayFolder="" count="0" memberValueDatatype="130" unbalanced="0"/>
    <cacheHierarchy uniqueName="[Branches].[Branch_Address]" caption="Branch_Address" attribute="1" defaultMemberUniqueName="[Branches].[Branch_Address].[All]" allUniqueName="[Branches].[Branch_Address].[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ClientRecords].[Account_Number]" caption="Account_Number" attribute="1" defaultMemberUniqueName="[ClientRecords].[Account_Number].[All]" allUniqueName="[ClientRecords].[Account_Number].[All]" dimensionUniqueName="[ClientRecords]" displayFolder="" count="0" memberValueDatatype="20" unbalanced="0"/>
    <cacheHierarchy uniqueName="[ClientRecords].[First_Name]" caption="First_Name" attribute="1" defaultMemberUniqueName="[ClientRecords].[First_Name].[All]" allUniqueName="[ClientRecords].[First_Name].[All]" dimensionUniqueName="[ClientRecords]" displayFolder="" count="0" memberValueDatatype="130" unbalanced="0"/>
    <cacheHierarchy uniqueName="[ClientRecords].[Surname]" caption="Surname" attribute="1" defaultMemberUniqueName="[ClientRecords].[Surname].[All]" allUniqueName="[ClientRecords].[Surname].[All]" dimensionUniqueName="[ClientRecords]" displayFolder="" count="0" memberValueDatatype="130" unbalanced="0"/>
    <cacheHierarchy uniqueName="[ClientRecords].[Account_Type]" caption="Account_Type" attribute="1" defaultMemberUniqueName="[ClientRecords].[Account_Type].[All]" allUniqueName="[ClientRecords].[Account_Type].[All]" dimensionUniqueName="[ClientRecords]" displayFolder="" count="2" memberValueDatatype="130" unbalanced="0"/>
    <cacheHierarchy uniqueName="[ClientRecords].[Client_Address]" caption="Client_Address" attribute="1" defaultMemberUniqueName="[ClientRecords].[Client_Address].[All]" allUniqueName="[ClientRecords].[Client_Address].[All]" dimensionUniqueName="[ClientRecords]" displayFolder="" count="0" memberValueDatatype="130" unbalanced="0"/>
    <cacheHierarchy uniqueName="[ClientRecords].[Date_Opened]" caption="Date_Opened" attribute="1" time="1" defaultMemberUniqueName="[ClientRecords].[Date_Opened].[All]" allUniqueName="[ClientRecords].[Date_Opened].[All]" dimensionUniqueName="[ClientRecords]" displayFolder="" count="2" memberValueDatatype="7" unbalanced="0">
      <fieldsUsage count="2">
        <fieldUsage x="-1"/>
        <fieldUsage x="0"/>
      </fieldsUsage>
    </cacheHierarchy>
    <cacheHierarchy uniqueName="[ClientRecords].[Account_Status]" caption="Account_Status" attribute="1" defaultMemberUniqueName="[ClientRecords].[Account_Status].[All]" allUniqueName="[ClientRecords].[Account_Status].[All]" dimensionUniqueName="[ClientRecords]" displayFolder="" count="0" memberValueDatatype="130" unbalanced="0"/>
    <cacheHierarchy uniqueName="[ClientRecords].[Account_Balance]" caption="Account_Balance" attribute="1" defaultMemberUniqueName="[ClientRecords].[Account_Balance].[All]" allUniqueName="[ClientRecords].[Account_Balance].[All]" dimensionUniqueName="[ClientRecords]" displayFolder="" count="0" memberValueDatatype="5" unbalanced="0"/>
    <cacheHierarchy uniqueName="[ClientRecords].[Branch_code]" caption="Branch_code" attribute="1" defaultMemberUniqueName="[ClientRecords].[Branch_code].[All]" allUniqueName="[ClientRecords].[Branch_code].[All]" dimensionUniqueName="[ClientRecords]" displayFolder="" count="0" memberValueDatatype="20" unbalanced="0"/>
    <cacheHierarchy uniqueName="[ClientRecords].[Date_Opened (Year)]" caption="Date_Opened (Year)" attribute="1" defaultMemberUniqueName="[ClientRecords].[Date_Opened (Year)].[All]" allUniqueName="[ClientRecords].[Date_Opened (Year)].[All]" dimensionUniqueName="[ClientRecords]" displayFolder="" count="2" memberValueDatatype="130" unbalanced="0">
      <fieldsUsage count="2">
        <fieldUsage x="-1"/>
        <fieldUsage x="4"/>
      </fieldsUsage>
    </cacheHierarchy>
    <cacheHierarchy uniqueName="[ClientRecords].[Date_Opened (Month)]" caption="Date_Opened (Month)" attribute="1" defaultMemberUniqueName="[ClientRecords].[Date_Opened (Month)].[All]" allUniqueName="[ClientRecords].[Date_Opened (Month)].[All]" dimensionUniqueName="[ClientRecords]" displayFolder="" count="2" memberValueDatatype="130" unbalanced="0">
      <fieldsUsage count="2">
        <fieldUsage x="-1"/>
        <fieldUsage x="3"/>
      </fieldsUsage>
    </cacheHierarchy>
    <cacheHierarchy uniqueName="[Trans].[Transaction_id]" caption="Transaction_id" attribute="1" defaultMemberUniqueName="[Trans].[Transaction_id].[All]" allUniqueName="[Trans].[Transaction_id].[All]" dimensionUniqueName="[Trans]" displayFolder="" count="0" memberValueDatatype="20" unbalanced="0"/>
    <cacheHierarchy uniqueName="[Trans].[Account_Number]" caption="Account_Number" attribute="1" defaultMemberUniqueName="[Trans].[Account_Number].[All]" allUniqueName="[Trans].[Account_Number].[All]" dimensionUniqueName="[Trans]" displayFolder="" count="0" memberValueDatatype="20" unbalanced="0"/>
    <cacheHierarchy uniqueName="[Trans].[Branch_Code]" caption="Branch_Code" attribute="1" defaultMemberUniqueName="[Trans].[Branch_Code].[All]" allUniqueName="[Trans].[Branch_Code].[All]" dimensionUniqueName="[Trans]" displayFolder="" count="0" memberValueDatatype="20" unbalanced="0"/>
    <cacheHierarchy uniqueName="[Trans].[Transaction_date]" caption="Transaction_date" attribute="1" time="1" defaultMemberUniqueName="[Trans].[Transaction_date].[All]" allUniqueName="[Trans].[Transaction_date].[All]" dimensionUniqueName="[Trans]" displayFolder="" count="0" memberValueDatatype="7" unbalanced="0"/>
    <cacheHierarchy uniqueName="[Trans].[Transaction_Classification]" caption="Transaction_Classification" attribute="1" defaultMemberUniqueName="[Trans].[Transaction_Classification].[All]" allUniqueName="[Trans].[Transaction_Classification].[All]" dimensionUniqueName="[Trans]" displayFolder="" count="2" memberValueDatatype="130" unbalanced="0">
      <fieldsUsage count="2">
        <fieldUsage x="-1"/>
        <fieldUsage x="1"/>
      </fieldsUsage>
    </cacheHierarchy>
    <cacheHierarchy uniqueName="[Trans].[Payment_method]" caption="Payment_method" attribute="1" defaultMemberUniqueName="[Trans].[Payment_method].[All]" allUniqueName="[Trans].[Payment_method].[All]" dimensionUniqueName="[Trans]" displayFolder="" count="2" memberValueDatatype="130" unbalanced="0"/>
    <cacheHierarchy uniqueName="[Trans].[Amount]" caption="Amount" attribute="1" defaultMemberUniqueName="[Trans].[Amount].[All]" allUniqueName="[Trans].[Amount].[All]" dimensionUniqueName="[Trans]" displayFolder="" count="0" memberValueDatatype="5" unbalanced="0"/>
    <cacheHierarchy uniqueName="[ClientRecords].[Date_Opened (Month Index)]" caption="Date_Opened (Month Index)" attribute="1" defaultMemberUniqueName="[ClientRecords].[Date_Opened (Month Index)].[All]" allUniqueName="[ClientRecords].[Date_Opened (Month Index)].[All]" dimensionUniqueName="[ClientRecords]" displayFolder="" count="0" memberValueDatatype="20" unbalanced="0" hidden="1"/>
    <cacheHierarchy uniqueName="[Measures].[__XL_Count Branches]" caption="__XL_Count Branches" measure="1" displayFolder="" measureGroup="Branches" count="0" hidden="1"/>
    <cacheHierarchy uniqueName="[Measures].[__XL_Count ClientRecords]" caption="__XL_Count ClientRecords" measure="1" displayFolder="" measureGroup="ClientRecord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Account_Number]" caption="Sum of Account_Number" measure="1" displayFolder="" measureGroup="ClientRecords" count="0" hidden="1">
      <extLst>
        <ext xmlns:x15="http://schemas.microsoft.com/office/spreadsheetml/2010/11/main" uri="{B97F6D7D-B522-45F9-BDA1-12C45D357490}">
          <x15:cacheHierarchy aggregatedColumn="6"/>
        </ext>
      </extLst>
    </cacheHierarchy>
    <cacheHierarchy uniqueName="[Measures].[Count of Transaction_Classification]" caption="Count of Transaction_Classification" measure="1" displayFolder="" measureGroup="Trans" count="0" hidden="1">
      <extLst>
        <ext xmlns:x15="http://schemas.microsoft.com/office/spreadsheetml/2010/11/main" uri="{B97F6D7D-B522-45F9-BDA1-12C45D357490}">
          <x15:cacheHierarchy aggregatedColumn="21"/>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17"/>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17"/>
        </ext>
      </extLst>
    </cacheHierarchy>
    <cacheHierarchy uniqueName="[Measures].[Sum of Account_Number 2]" caption="Sum of Account_Number 2" measure="1" displayFolder="" measureGroup="Trans" count="0" hidden="1">
      <extLst>
        <ext xmlns:x15="http://schemas.microsoft.com/office/spreadsheetml/2010/11/main" uri="{B97F6D7D-B522-45F9-BDA1-12C45D357490}">
          <x15:cacheHierarchy aggregatedColumn="18"/>
        </ext>
      </extLst>
    </cacheHierarchy>
    <cacheHierarchy uniqueName="[Measures].[Count of Account_Number]" caption="Count of Account_Number" measure="1" displayFolder="" measureGroup="Tran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City]" caption="Count of City" measure="1" displayFolder="" measureGroup="Branches" count="0" hidden="1">
      <extLst>
        <ext xmlns:x15="http://schemas.microsoft.com/office/spreadsheetml/2010/11/main" uri="{B97F6D7D-B522-45F9-BDA1-12C45D357490}">
          <x15:cacheHierarchy aggregatedColumn="4"/>
        </ext>
      </extLst>
    </cacheHierarchy>
    <cacheHierarchy uniqueName="[Measures].[Count of Account_Number 2]" caption="Count of Account_Number 2" measure="1" displayFolder="" measureGroup="ClientRecords" count="0" hidden="1">
      <extLst>
        <ext xmlns:x15="http://schemas.microsoft.com/office/spreadsheetml/2010/11/main" uri="{B97F6D7D-B522-45F9-BDA1-12C45D357490}">
          <x15:cacheHierarchy aggregatedColumn="6"/>
        </ext>
      </extLst>
    </cacheHierarchy>
    <cacheHierarchy uniqueName="[Measures].[Sum of Account_Balance]" caption="Sum of Account_Balance" measure="1" displayFolder="" measureGroup="ClientRecords" count="0" hidden="1">
      <extLst>
        <ext xmlns:x15="http://schemas.microsoft.com/office/spreadsheetml/2010/11/main" uri="{B97F6D7D-B522-45F9-BDA1-12C45D357490}">
          <x15:cacheHierarchy aggregatedColumn="13"/>
        </ext>
      </extLst>
    </cacheHierarchy>
  </cacheHierarchies>
  <kpis count="0"/>
  <dimensions count="4">
    <dimension name="Branches" uniqueName="[Branches]" caption="Branches"/>
    <dimension name="ClientRecords" uniqueName="[ClientRecords]" caption="ClientRecords"/>
    <dimension measure="1" name="Measures" uniqueName="[Measures]" caption="Measures"/>
    <dimension name="Trans" uniqueName="[Trans]" caption="Trans"/>
  </dimensions>
  <measureGroups count="3">
    <measureGroup name="Branches" caption="Branches"/>
    <measureGroup name="ClientRecords" caption="ClientRecords"/>
    <measureGroup name="Trans" caption="Trans"/>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2257906" refreshedDate="46260.41945115741" backgroundQuery="1" createdVersion="3" refreshedVersion="7" minRefreshableVersion="3" recordCount="0" supportSubquery="1" supportAdvancedDrill="1" xr:uid="{F9CFEA30-6C61-41F4-B837-A65DC59A0BC1}">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Branches].[Branch_Code]" caption="Branch_Code" attribute="1" defaultMemberUniqueName="[Branches].[Branch_Code].[All]" allUniqueName="[Branches].[Branch_Code].[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cacheHierarchy uniqueName="[Branches].[Branch_Manager]" caption="Branch_Manager" attribute="1" defaultMemberUniqueName="[Branches].[Branch_Manager].[All]" allUniqueName="[Branches].[Branch_Manager].[All]" dimensionUniqueName="[Branches]" displayFolder="" count="0" memberValueDatatype="130" unbalanced="0"/>
    <cacheHierarchy uniqueName="[Branches].[Branch_Address]" caption="Branch_Address" attribute="1" defaultMemberUniqueName="[Branches].[Branch_Address].[All]" allUniqueName="[Branches].[Branch_Address].[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ClientRecords].[Account_Number]" caption="Account_Number" attribute="1" defaultMemberUniqueName="[ClientRecords].[Account_Number].[All]" allUniqueName="[ClientRecords].[Account_Number].[All]" dimensionUniqueName="[ClientRecords]" displayFolder="" count="0" memberValueDatatype="20" unbalanced="0"/>
    <cacheHierarchy uniqueName="[ClientRecords].[First_Name]" caption="First_Name" attribute="1" defaultMemberUniqueName="[ClientRecords].[First_Name].[All]" allUniqueName="[ClientRecords].[First_Name].[All]" dimensionUniqueName="[ClientRecords]" displayFolder="" count="0" memberValueDatatype="130" unbalanced="0"/>
    <cacheHierarchy uniqueName="[ClientRecords].[Surname]" caption="Surname" attribute="1" defaultMemberUniqueName="[ClientRecords].[Surname].[All]" allUniqueName="[ClientRecords].[Surname].[All]" dimensionUniqueName="[ClientRecords]" displayFolder="" count="0" memberValueDatatype="130" unbalanced="0"/>
    <cacheHierarchy uniqueName="[ClientRecords].[Account_Type]" caption="Account_Type" attribute="1" defaultMemberUniqueName="[ClientRecords].[Account_Type].[All]" allUniqueName="[ClientRecords].[Account_Type].[All]" dimensionUniqueName="[ClientRecords]" displayFolder="" count="2" memberValueDatatype="130" unbalanced="0"/>
    <cacheHierarchy uniqueName="[ClientRecords].[Client_Address]" caption="Client_Address" attribute="1" defaultMemberUniqueName="[ClientRecords].[Client_Address].[All]" allUniqueName="[ClientRecords].[Client_Address].[All]" dimensionUniqueName="[ClientRecords]" displayFolder="" count="0" memberValueDatatype="130" unbalanced="0"/>
    <cacheHierarchy uniqueName="[ClientRecords].[Date_Opened]" caption="Date_Opened" attribute="1" time="1" defaultMemberUniqueName="[ClientRecords].[Date_Opened].[All]" allUniqueName="[ClientRecords].[Date_Opened].[All]" dimensionUniqueName="[ClientRecords]" displayFolder="" count="0" memberValueDatatype="7" unbalanced="0"/>
    <cacheHierarchy uniqueName="[ClientRecords].[Account_Status]" caption="Account_Status" attribute="1" defaultMemberUniqueName="[ClientRecords].[Account_Status].[All]" allUniqueName="[ClientRecords].[Account_Status].[All]" dimensionUniqueName="[ClientRecords]" displayFolder="" count="0" memberValueDatatype="130" unbalanced="0"/>
    <cacheHierarchy uniqueName="[ClientRecords].[Account_Balance]" caption="Account_Balance" attribute="1" defaultMemberUniqueName="[ClientRecords].[Account_Balance].[All]" allUniqueName="[ClientRecords].[Account_Balance].[All]" dimensionUniqueName="[ClientRecords]" displayFolder="" count="0" memberValueDatatype="5" unbalanced="0"/>
    <cacheHierarchy uniqueName="[ClientRecords].[Branch_code]" caption="Branch_code" attribute="1" defaultMemberUniqueName="[ClientRecords].[Branch_code].[All]" allUniqueName="[ClientRecords].[Branch_code].[All]" dimensionUniqueName="[ClientRecords]" displayFolder="" count="0" memberValueDatatype="20" unbalanced="0"/>
    <cacheHierarchy uniqueName="[ClientRecords].[Date_Opened (Year)]" caption="Date_Opened (Year)" attribute="1" defaultMemberUniqueName="[ClientRecords].[Date_Opened (Year)].[All]" allUniqueName="[ClientRecords].[Date_Opened (Year)].[All]" dimensionUniqueName="[ClientRecords]" displayFolder="" count="0" memberValueDatatype="130" unbalanced="0"/>
    <cacheHierarchy uniqueName="[ClientRecords].[Date_Opened (Month)]" caption="Date_Opened (Month)" attribute="1" defaultMemberUniqueName="[ClientRecords].[Date_Opened (Month)].[All]" allUniqueName="[ClientRecords].[Date_Opened (Month)].[All]" dimensionUniqueName="[ClientRecords]" displayFolder="" count="0" memberValueDatatype="130" unbalanced="0"/>
    <cacheHierarchy uniqueName="[Trans].[Transaction_id]" caption="Transaction_id" attribute="1" defaultMemberUniqueName="[Trans].[Transaction_id].[All]" allUniqueName="[Trans].[Transaction_id].[All]" dimensionUniqueName="[Trans]" displayFolder="" count="0" memberValueDatatype="20" unbalanced="0"/>
    <cacheHierarchy uniqueName="[Trans].[Account_Number]" caption="Account_Number" attribute="1" defaultMemberUniqueName="[Trans].[Account_Number].[All]" allUniqueName="[Trans].[Account_Number].[All]" dimensionUniqueName="[Trans]" displayFolder="" count="0" memberValueDatatype="20" unbalanced="0"/>
    <cacheHierarchy uniqueName="[Trans].[Branch_Code]" caption="Branch_Code" attribute="1" defaultMemberUniqueName="[Trans].[Branch_Code].[All]" allUniqueName="[Trans].[Branch_Code].[All]" dimensionUniqueName="[Trans]" displayFolder="" count="0" memberValueDatatype="20" unbalanced="0"/>
    <cacheHierarchy uniqueName="[Trans].[Transaction_date]" caption="Transaction_date" attribute="1" time="1" defaultMemberUniqueName="[Trans].[Transaction_date].[All]" allUniqueName="[Trans].[Transaction_date].[All]" dimensionUniqueName="[Trans]" displayFolder="" count="0" memberValueDatatype="7" unbalanced="0"/>
    <cacheHierarchy uniqueName="[Trans].[Transaction_Classification]" caption="Transaction_Classification" attribute="1" defaultMemberUniqueName="[Trans].[Transaction_Classification].[All]" allUniqueName="[Trans].[Transaction_Classification].[All]" dimensionUniqueName="[Trans]" displayFolder="" count="2" memberValueDatatype="130" unbalanced="0"/>
    <cacheHierarchy uniqueName="[Trans].[Payment_method]" caption="Payment_method" attribute="1" defaultMemberUniqueName="[Trans].[Payment_method].[All]" allUniqueName="[Trans].[Payment_method].[All]" dimensionUniqueName="[Trans]" displayFolder="" count="2" memberValueDatatype="130" unbalanced="0"/>
    <cacheHierarchy uniqueName="[Trans].[Amount]" caption="Amount" attribute="1" defaultMemberUniqueName="[Trans].[Amount].[All]" allUniqueName="[Trans].[Amount].[All]" dimensionUniqueName="[Trans]" displayFolder="" count="0" memberValueDatatype="5" unbalanced="0"/>
    <cacheHierarchy uniqueName="[ClientRecords].[Date_Opened (Month Index)]" caption="Date_Opened (Month Index)" attribute="1" defaultMemberUniqueName="[ClientRecords].[Date_Opened (Month Index)].[All]" allUniqueName="[ClientRecords].[Date_Opened (Month Index)].[All]" dimensionUniqueName="[ClientRecords]" displayFolder="" count="0" memberValueDatatype="20" unbalanced="0" hidden="1"/>
    <cacheHierarchy uniqueName="[Measures].[__XL_Count Branches]" caption="__XL_Count Branches" measure="1" displayFolder="" measureGroup="Branches" count="0" hidden="1"/>
    <cacheHierarchy uniqueName="[Measures].[__XL_Count ClientRecords]" caption="__XL_Count ClientRecords" measure="1" displayFolder="" measureGroup="ClientRecords" count="0" hidden="1"/>
    <cacheHierarchy uniqueName="[Measures].[__XL_Count Trans]" caption="__XL_Count Trans" measure="1" displayFolder="" measureGroup="Trans" count="0" hidden="1"/>
    <cacheHierarchy uniqueName="[Measures].[__No measures defined]" caption="__No measures defined" measure="1" displayFolder="" count="0" hidden="1"/>
    <cacheHierarchy uniqueName="[Measures].[Sum of Account_Number]" caption="Sum of Account_Number" measure="1" displayFolder="" measureGroup="ClientRecords" count="0" hidden="1">
      <extLst>
        <ext xmlns:x15="http://schemas.microsoft.com/office/spreadsheetml/2010/11/main" uri="{B97F6D7D-B522-45F9-BDA1-12C45D357490}">
          <x15:cacheHierarchy aggregatedColumn="6"/>
        </ext>
      </extLst>
    </cacheHierarchy>
    <cacheHierarchy uniqueName="[Measures].[Count of Transaction_Classification]" caption="Count of Transaction_Classification" measure="1" displayFolder="" measureGroup="Trans" count="0" hidden="1">
      <extLst>
        <ext xmlns:x15="http://schemas.microsoft.com/office/spreadsheetml/2010/11/main" uri="{B97F6D7D-B522-45F9-BDA1-12C45D357490}">
          <x15:cacheHierarchy aggregatedColumn="21"/>
        </ext>
      </extLst>
    </cacheHierarchy>
    <cacheHierarchy uniqueName="[Measures].[Sum of Transaction_id]" caption="Sum of Transaction_id" measure="1" displayFolder="" measureGroup="Trans" count="0" hidden="1">
      <extLst>
        <ext xmlns:x15="http://schemas.microsoft.com/office/spreadsheetml/2010/11/main" uri="{B97F6D7D-B522-45F9-BDA1-12C45D357490}">
          <x15:cacheHierarchy aggregatedColumn="17"/>
        </ext>
      </extLst>
    </cacheHierarchy>
    <cacheHierarchy uniqueName="[Measures].[Count of Transaction_id]" caption="Count of Transaction_id" measure="1" displayFolder="" measureGroup="Trans" count="0" hidden="1">
      <extLst>
        <ext xmlns:x15="http://schemas.microsoft.com/office/spreadsheetml/2010/11/main" uri="{B97F6D7D-B522-45F9-BDA1-12C45D357490}">
          <x15:cacheHierarchy aggregatedColumn="17"/>
        </ext>
      </extLst>
    </cacheHierarchy>
    <cacheHierarchy uniqueName="[Measures].[Sum of Account_Number 2]" caption="Sum of Account_Number 2" measure="1" displayFolder="" measureGroup="Trans" count="0" hidden="1">
      <extLst>
        <ext xmlns:x15="http://schemas.microsoft.com/office/spreadsheetml/2010/11/main" uri="{B97F6D7D-B522-45F9-BDA1-12C45D357490}">
          <x15:cacheHierarchy aggregatedColumn="18"/>
        </ext>
      </extLst>
    </cacheHierarchy>
    <cacheHierarchy uniqueName="[Measures].[Count of Account_Number]" caption="Count of Account_Number" measure="1" displayFolder="" measureGroup="Trans"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Branches" count="0" hidden="1">
      <extLst>
        <ext xmlns:x15="http://schemas.microsoft.com/office/spreadsheetml/2010/11/main" uri="{B97F6D7D-B522-45F9-BDA1-12C45D357490}">
          <x15:cacheHierarchy aggregatedColumn="4"/>
        </ext>
      </extLst>
    </cacheHierarchy>
    <cacheHierarchy uniqueName="[Measures].[Count of Account_Number 2]" caption="Count of Account_Number 2" measure="1" displayFolder="" measureGroup="ClientRecord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46546282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d v="2026-08-08T00:00:00"/>
    <n v="2000"/>
    <n v="1008"/>
  </r>
  <r>
    <x v="1"/>
    <x v="1"/>
    <d v="2026-08-01T00:00:00"/>
    <n v="450"/>
    <n v="1006"/>
  </r>
  <r>
    <x v="2"/>
    <x v="2"/>
    <d v="2026-08-07T00:00:00"/>
    <n v="4000"/>
    <n v="1009"/>
  </r>
  <r>
    <x v="3"/>
    <x v="2"/>
    <d v="2026-08-01T00:00:00"/>
    <n v="5000"/>
    <n v="1001"/>
  </r>
  <r>
    <x v="3"/>
    <x v="2"/>
    <d v="2026-08-12T00:00:00"/>
    <n v="5000"/>
    <n v="1011"/>
  </r>
  <r>
    <x v="3"/>
    <x v="2"/>
    <d v="2026-08-16T00:00:00"/>
    <n v="8000"/>
    <n v="1007"/>
  </r>
  <r>
    <x v="3"/>
    <x v="1"/>
    <d v="2026-08-18T00:00:00"/>
    <n v="750.25"/>
    <n v="1001"/>
  </r>
  <r>
    <x v="3"/>
    <x v="0"/>
    <d v="2026-08-05T00:00:00"/>
    <n v="1000"/>
    <n v="1001"/>
  </r>
  <r>
    <x v="3"/>
    <x v="0"/>
    <d v="2026-08-14T00:00:00"/>
    <n v="3000"/>
    <n v="1002"/>
  </r>
  <r>
    <x v="4"/>
    <x v="2"/>
    <d v="2026-08-17T00:00:00"/>
    <n v="30000"/>
    <n v="1010"/>
  </r>
  <r>
    <x v="4"/>
    <x v="1"/>
    <d v="2026-08-15T00:00:00"/>
    <n v="5500.75"/>
    <n v="1004"/>
  </r>
  <r>
    <x v="4"/>
    <x v="3"/>
    <d v="2026-07-20T00:00:00"/>
    <n v="50000"/>
    <n v="1004"/>
  </r>
  <r>
    <x v="4"/>
    <x v="0"/>
    <d v="2026-08-12T00:00:00"/>
    <n v="20000"/>
    <n v="1004"/>
  </r>
  <r>
    <x v="5"/>
    <x v="2"/>
    <d v="2026-08-03T00:00:00"/>
    <n v="1500"/>
    <n v="1003"/>
  </r>
  <r>
    <x v="6"/>
    <x v="2"/>
    <d v="2026-08-09T00:00:00"/>
    <n v="12000"/>
    <n v="1007"/>
  </r>
  <r>
    <x v="7"/>
    <x v="2"/>
    <d v="2026-08-11T00:00:00"/>
    <n v="3000"/>
    <n v="1005"/>
  </r>
  <r>
    <x v="8"/>
    <x v="2"/>
    <d v="2026-08-02T00:00:00"/>
    <n v="10000"/>
    <n v="1002"/>
  </r>
  <r>
    <x v="8"/>
    <x v="1"/>
    <d v="2026-08-10T00:00:00"/>
    <n v="2500.5"/>
    <n v="1002"/>
  </r>
  <r>
    <x v="8"/>
    <x v="1"/>
    <d v="2026-08-13T00:00:00"/>
    <n v="1200"/>
    <n v="1012"/>
  </r>
  <r>
    <x v="9"/>
    <x v="4"/>
    <d v="2026-08-06T00:00:00"/>
    <n v="75000"/>
    <n v="10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001"/>
    <x v="0"/>
    <s v="Zulu"/>
    <s v="Savings"/>
    <s v="15 Musgrave Rd"/>
    <x v="0"/>
    <x v="0"/>
    <n v="15000.5"/>
    <x v="0"/>
  </r>
  <r>
    <n v="1002"/>
    <x v="1"/>
    <s v="Mkhize"/>
    <s v="Current"/>
    <s v="22 Umhlanga Rocks"/>
    <x v="1"/>
    <x v="0"/>
    <n v="45200"/>
    <x v="1"/>
  </r>
  <r>
    <n v="1003"/>
    <x v="2"/>
    <s v="Smith"/>
    <s v="Savings"/>
    <s v="8 Pinetown Ave"/>
    <x v="2"/>
    <x v="0"/>
    <n v="2300.75"/>
    <x v="2"/>
  </r>
  <r>
    <n v="1004"/>
    <x v="3"/>
    <s v="Mbeki"/>
    <s v="Business"/>
    <s v="JHB Central 45"/>
    <x v="3"/>
    <x v="0"/>
    <n v="125000"/>
    <x v="3"/>
  </r>
  <r>
    <n v="1005"/>
    <x v="4"/>
    <s v="Mdluli"/>
    <s v="Savings"/>
    <s v="Sandton 12"/>
    <x v="4"/>
    <x v="0"/>
    <n v="8750.2999999999993"/>
    <x v="4"/>
  </r>
  <r>
    <n v="1006"/>
    <x v="5"/>
    <s v="Wilson"/>
    <s v="Current"/>
    <s v="Sea Point 99"/>
    <x v="5"/>
    <x v="1"/>
    <n v="5600"/>
    <x v="5"/>
  </r>
  <r>
    <n v="1007"/>
    <x v="6"/>
    <s v="Dlamini"/>
    <s v="Savings"/>
    <s v="Pretoria East 10"/>
    <x v="6"/>
    <x v="0"/>
    <n v="34200.9"/>
    <x v="6"/>
  </r>
  <r>
    <n v="1008"/>
    <x v="7"/>
    <s v="Masondo"/>
    <s v="Current"/>
    <s v="Ballito Bay 5"/>
    <x v="7"/>
    <x v="0"/>
    <n v="18500"/>
    <x v="3"/>
  </r>
  <r>
    <n v="1009"/>
    <x v="8"/>
    <s v="Pillay"/>
    <s v="Savings"/>
    <s v="Chatsworth 101"/>
    <x v="8"/>
    <x v="0"/>
    <n v="9500.25"/>
    <x v="7"/>
  </r>
  <r>
    <n v="1010"/>
    <x v="9"/>
    <s v="Brown"/>
    <s v="Business"/>
    <s v="Westville 20"/>
    <x v="9"/>
    <x v="0"/>
    <n v="250000"/>
    <x v="8"/>
  </r>
  <r>
    <n v="1011"/>
    <x v="10"/>
    <s v="Khumalo"/>
    <s v="Savings"/>
    <s v="Durban North 3"/>
    <x v="10"/>
    <x v="0"/>
    <n v="11200"/>
    <x v="1"/>
  </r>
  <r>
    <n v="1012"/>
    <x v="11"/>
    <s v="Govender"/>
    <s v="Current"/>
    <s v="Umhlanga 55"/>
    <x v="11"/>
    <x v="0"/>
    <n v="67800.45"/>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n v="1001"/>
    <n v="101"/>
    <d v="2026-08-01T00:00:00"/>
    <x v="0"/>
    <s v="Cash"/>
    <n v="5000"/>
  </r>
  <r>
    <n v="2"/>
    <n v="1001"/>
    <n v="101"/>
    <d v="2026-08-05T00:00:00"/>
    <x v="1"/>
    <s v="ATM"/>
    <n v="1000"/>
  </r>
  <r>
    <n v="3"/>
    <n v="1002"/>
    <n v="102"/>
    <d v="2026-08-02T00:00:00"/>
    <x v="0"/>
    <s v="EFT"/>
    <n v="10000"/>
  </r>
  <r>
    <n v="4"/>
    <n v="1002"/>
    <n v="102"/>
    <d v="2026-08-10T00:00:00"/>
    <x v="2"/>
    <s v="Card"/>
    <n v="2500.5"/>
  </r>
  <r>
    <n v="5"/>
    <n v="1003"/>
    <n v="103"/>
    <d v="2026-08-03T00:00:00"/>
    <x v="0"/>
    <s v="Cash"/>
    <n v="1500"/>
  </r>
  <r>
    <n v="6"/>
    <n v="1004"/>
    <n v="104"/>
    <d v="2026-07-20T00:00:00"/>
    <x v="3"/>
    <s v="EFT"/>
    <n v="50000"/>
  </r>
  <r>
    <n v="7"/>
    <n v="1004"/>
    <n v="104"/>
    <d v="2026-08-12T00:00:00"/>
    <x v="1"/>
    <s v="Cheque"/>
    <n v="20000"/>
  </r>
  <r>
    <n v="8"/>
    <n v="1005"/>
    <n v="105"/>
    <d v="2026-08-11T00:00:00"/>
    <x v="0"/>
    <s v="Cash"/>
    <n v="3000"/>
  </r>
  <r>
    <n v="9"/>
    <n v="1006"/>
    <n v="106"/>
    <d v="2026-08-01T00:00:00"/>
    <x v="2"/>
    <s v="Card"/>
    <n v="450"/>
  </r>
  <r>
    <n v="10"/>
    <n v="1007"/>
    <n v="107"/>
    <d v="2026-08-09T00:00:00"/>
    <x v="0"/>
    <s v="EFT"/>
    <n v="12000"/>
  </r>
  <r>
    <n v="11"/>
    <n v="1008"/>
    <n v="108"/>
    <d v="2026-08-08T00:00:00"/>
    <x v="1"/>
    <s v="ATM"/>
    <n v="2000"/>
  </r>
  <r>
    <n v="12"/>
    <n v="1009"/>
    <n v="109"/>
    <d v="2026-08-07T00:00:00"/>
    <x v="0"/>
    <s v="Cash"/>
    <n v="4000"/>
  </r>
  <r>
    <n v="13"/>
    <n v="1010"/>
    <n v="110"/>
    <d v="2026-08-06T00:00:00"/>
    <x v="4"/>
    <s v="EFT"/>
    <n v="75000"/>
  </r>
  <r>
    <n v="14"/>
    <n v="1011"/>
    <n v="101"/>
    <d v="2026-08-12T00:00:00"/>
    <x v="0"/>
    <s v="Cash"/>
    <n v="5000"/>
  </r>
  <r>
    <n v="15"/>
    <n v="1012"/>
    <n v="102"/>
    <d v="2026-08-13T00:00:00"/>
    <x v="2"/>
    <s v="Card"/>
    <n v="1200"/>
  </r>
  <r>
    <n v="16"/>
    <n v="1002"/>
    <n v="101"/>
    <d v="2026-08-14T00:00:00"/>
    <x v="1"/>
    <s v="ATM"/>
    <n v="3000"/>
  </r>
  <r>
    <n v="17"/>
    <n v="1004"/>
    <n v="104"/>
    <d v="2026-08-15T00:00:00"/>
    <x v="2"/>
    <s v="Card"/>
    <n v="5500.75"/>
  </r>
  <r>
    <n v="18"/>
    <n v="1007"/>
    <n v="101"/>
    <d v="2026-08-16T00:00:00"/>
    <x v="0"/>
    <s v="EFT"/>
    <n v="8000"/>
  </r>
  <r>
    <n v="19"/>
    <n v="1010"/>
    <n v="104"/>
    <d v="2026-08-17T00:00:00"/>
    <x v="0"/>
    <s v="EFT"/>
    <n v="30000"/>
  </r>
  <r>
    <n v="20"/>
    <n v="1001"/>
    <n v="101"/>
    <d v="2026-08-18T00:00:00"/>
    <x v="2"/>
    <s v="Card"/>
    <n v="75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E65EC-0E9B-4A7E-B50C-F568127F34DF}" name="PivotTable15" cacheId="36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7:G56" firstHeaderRow="1" firstDataRow="2" firstDataCol="1"/>
  <pivotFields count="5">
    <pivotField axis="axisRow" allDrilled="1" showAll="0" dataSourceSort="1" defaultAttributeDrillState="1">
      <items count="13">
        <item x="0"/>
        <item x="1"/>
        <item x="2"/>
        <item x="3"/>
        <item x="4"/>
        <item x="5"/>
        <item x="6"/>
        <item x="7"/>
        <item x="8"/>
        <item x="9"/>
        <item x="10"/>
        <item x="11"/>
        <item t="default"/>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items count="10">
        <item x="0" e="0"/>
        <item x="1" e="0"/>
        <item x="2" e="0"/>
        <item x="3" e="0"/>
        <item x="4" e="0"/>
        <item x="5" e="0"/>
        <item x="6" e="0"/>
        <item x="7" e="0"/>
        <item x="8" e="0"/>
        <item x="9" e="0"/>
      </items>
    </pivotField>
    <pivotField axis="axisRow" allDrilled="1" subtotalTop="0" showAll="0" dataSourceSort="1" defaultSubtotal="0" defaultAttributeDrillState="1">
      <items count="5">
        <item x="0"/>
        <item x="1"/>
        <item x="2"/>
        <item x="3"/>
        <item x="4"/>
      </items>
    </pivotField>
  </pivotFields>
  <rowFields count="3">
    <field x="4"/>
    <field x="3"/>
    <field x="0"/>
  </rowFields>
  <rowItems count="18">
    <i>
      <x/>
    </i>
    <i r="1">
      <x/>
    </i>
    <i>
      <x v="1"/>
    </i>
    <i r="1">
      <x v="1"/>
    </i>
    <i r="1">
      <x v="2"/>
    </i>
    <i>
      <x v="2"/>
    </i>
    <i r="1">
      <x v="3"/>
    </i>
    <i r="1">
      <x v="4"/>
    </i>
    <i>
      <x v="3"/>
    </i>
    <i r="1">
      <x v="5"/>
    </i>
    <i r="1">
      <x v="6"/>
    </i>
    <i r="1">
      <x v="7"/>
    </i>
    <i r="1">
      <x v="8"/>
    </i>
    <i>
      <x v="4"/>
    </i>
    <i r="1">
      <x v="5"/>
    </i>
    <i r="1">
      <x v="9"/>
    </i>
    <i r="1">
      <x v="6"/>
    </i>
    <i t="grand">
      <x/>
    </i>
  </rowItems>
  <colFields count="1">
    <field x="1"/>
  </colFields>
  <colItems count="6">
    <i>
      <x/>
    </i>
    <i>
      <x v="1"/>
    </i>
    <i>
      <x v="2"/>
    </i>
    <i>
      <x v="3"/>
    </i>
    <i>
      <x v="4"/>
    </i>
    <i t="grand">
      <x/>
    </i>
  </colItems>
  <dataFields count="1">
    <dataField name="Count of Account_Number" fld="2" subtotal="count" baseField="0" baseItem="0"/>
  </dataFields>
  <chartFormats count="5">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ransaction_id"/>
    <pivotHierarchy dragToData="1"/>
    <pivotHierarchy dragToData="1" caption="Count of Account_Number"/>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5"/>
    <rowHierarchyUsage hierarchyUsage="16"/>
    <rowHierarchyUsage hierarchyUsage="11"/>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Records]"/>
        <x15:activeTabTopLevelEntity name="[Tran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CE467-F697-41BE-88D6-3205AB8C7419}" name="PivotTable10" cacheId="35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Branch_Name">
  <location ref="G24:H34"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Account_Balanc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Records]"/>
        <x15:activeTabTopLevelEntity name="[Branches]"/>
        <x15:activeTabTopLevelEntity name="[Tr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FCC2B0-1146-42B5-A075-60941DC61569}" name="PivotTable5" cacheId="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rans_Classification">
  <location ref="J20:K24" firstHeaderRow="1" firstDataRow="1" firstDataCol="1"/>
  <pivotFields count="7">
    <pivotField showAll="0"/>
    <pivotField showAll="0"/>
    <pivotField showAll="0"/>
    <pivotField numFmtId="14" showAll="0"/>
    <pivotField axis="axisRow" showAll="0">
      <items count="6">
        <item x="0"/>
        <item x="2"/>
        <item h="1" x="3"/>
        <item h="1" x="4"/>
        <item x="1"/>
        <item t="default"/>
      </items>
    </pivotField>
    <pivotField showAll="0"/>
    <pivotField dataField="1" showAll="0"/>
  </pivotFields>
  <rowFields count="1">
    <field x="4"/>
  </rowFields>
  <rowItems count="4">
    <i>
      <x/>
    </i>
    <i>
      <x v="1"/>
    </i>
    <i>
      <x v="4"/>
    </i>
    <i t="grand">
      <x/>
    </i>
  </rowItems>
  <colItems count="1">
    <i/>
  </colItems>
  <dataFields count="1">
    <dataField name="Average of Amount" fld="6" subtotal="average" baseField="0" baseItem="352225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A64CCB-F610-4A39-9820-CE66168B9403}" name="PivotTable4"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M17" firstHeaderRow="1" firstDataRow="2" firstDataCol="1"/>
  <pivotFields count="11">
    <pivotField showAll="0"/>
    <pivotField axis="axisRow" dataField="1" showAll="0">
      <items count="13">
        <item x="7"/>
        <item x="0"/>
        <item x="5"/>
        <item x="4"/>
        <item x="2"/>
        <item x="11"/>
        <item x="3"/>
        <item x="9"/>
        <item x="6"/>
        <item x="8"/>
        <item x="1"/>
        <item x="10"/>
        <item t="default"/>
      </items>
    </pivotField>
    <pivotField showAll="0"/>
    <pivotField showAll="0"/>
    <pivotField showAll="0"/>
    <pivotField numFmtId="14" showAll="0"/>
    <pivotField axis="axisCol" showAll="0">
      <items count="3">
        <item x="0"/>
        <item x="1"/>
        <item t="default"/>
      </items>
    </pivotField>
    <pivotField showAll="0"/>
    <pivotField showAll="0"/>
    <pivotField showAll="0" defaultSubtotal="0"/>
    <pivotField showAll="0" defaultSubtotal="0"/>
  </pivotFields>
  <rowFields count="1">
    <field x="1"/>
  </rowFields>
  <rowItems count="13">
    <i>
      <x/>
    </i>
    <i>
      <x v="1"/>
    </i>
    <i>
      <x v="2"/>
    </i>
    <i>
      <x v="3"/>
    </i>
    <i>
      <x v="4"/>
    </i>
    <i>
      <x v="5"/>
    </i>
    <i>
      <x v="6"/>
    </i>
    <i>
      <x v="7"/>
    </i>
    <i>
      <x v="8"/>
    </i>
    <i>
      <x v="9"/>
    </i>
    <i>
      <x v="10"/>
    </i>
    <i>
      <x v="11"/>
    </i>
    <i t="grand">
      <x/>
    </i>
  </rowItems>
  <colFields count="1">
    <field x="6"/>
  </colFields>
  <colItems count="3">
    <i>
      <x/>
    </i>
    <i>
      <x v="1"/>
    </i>
    <i t="grand">
      <x/>
    </i>
  </colItems>
  <dataFields count="1">
    <dataField name="Count of Firs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191F2E-EA3E-4960-9445-1A499CA1DFC7}" name="PivotTable2"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Trans_Classification">
  <location ref="D3:E9" firstHeaderRow="1" firstDataRow="1" firstDataCol="1"/>
  <pivotFields count="5">
    <pivotField showAll="0"/>
    <pivotField axis="axisRow" showAll="0">
      <items count="6">
        <item x="2"/>
        <item x="1"/>
        <item x="3"/>
        <item x="4"/>
        <item x="0"/>
        <item t="default"/>
      </items>
    </pivotField>
    <pivotField numFmtId="14" showAll="0"/>
    <pivotField showAll="0"/>
    <pivotField dataField="1" showAll="0"/>
  </pivotFields>
  <rowFields count="1">
    <field x="1"/>
  </rowFields>
  <rowItems count="6">
    <i>
      <x/>
    </i>
    <i>
      <x v="1"/>
    </i>
    <i>
      <x v="2"/>
    </i>
    <i>
      <x v="3"/>
    </i>
    <i>
      <x v="4"/>
    </i>
    <i t="grand">
      <x/>
    </i>
  </rowItems>
  <colItems count="1">
    <i/>
  </colItems>
  <dataFields count="1">
    <dataField name="Count of Account_Number" fld="4" subtotal="count" baseField="0" baseItem="9"/>
  </dataFields>
  <chartFormats count="1">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3109E0-26B7-42B4-A006-7CD568FA218F}" name="PivotTable3"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Trans_Classification">
  <location ref="G3:H7" firstHeaderRow="1" firstDataRow="1" firstDataCol="1"/>
  <pivotFields count="5">
    <pivotField showAll="0"/>
    <pivotField axis="axisRow" multipleItemSelectionAllowed="1" showAll="0">
      <items count="6">
        <item x="2"/>
        <item x="1"/>
        <item h="1" x="3"/>
        <item h="1" x="4"/>
        <item x="0"/>
        <item t="default"/>
      </items>
    </pivotField>
    <pivotField numFmtId="14" showAll="0"/>
    <pivotField dataField="1" showAll="0"/>
    <pivotField showAll="0"/>
  </pivotFields>
  <rowFields count="1">
    <field x="1"/>
  </rowFields>
  <rowItems count="4">
    <i>
      <x/>
    </i>
    <i>
      <x v="1"/>
    </i>
    <i>
      <x v="4"/>
    </i>
    <i t="grand">
      <x/>
    </i>
  </rowItems>
  <colItems count="1">
    <i/>
  </colItems>
  <dataFields count="1">
    <dataField name="Sum of Amount" fld="3" baseField="0" baseItem="0"/>
  </dataField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0F5589-9C77-4D51-8C20-49154450E3F5}" name="PivotTable7" cacheId="35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Branch_Name">
  <location ref="G11:H21" firstHeaderRow="1" firstDataRow="1" firstDataCol="1"/>
  <pivotFields count="3">
    <pivotField axis="axisRow" allDrilled="1" showAll="0" dataSourceSort="1" defaultAttributeDrillState="1">
      <items count="10">
        <item x="0"/>
        <item x="1"/>
        <item x="2"/>
        <item x="3"/>
        <item x="4"/>
        <item x="5"/>
        <item x="6"/>
        <item x="7"/>
        <item x="8"/>
        <item t="default"/>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Account_Number" fld="1" baseField="0" baseItem="0"/>
  </dataFields>
  <pivotHierarchies count="3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ClientRecords]"/>
        <x15:activeTabTopLevelEntity name="[Tr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F4AE2C-A918-4ACF-92E9-0499654570B9}" name="PivotTable17" cacheId="3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1:E30"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Fields count="1">
    <field x="0"/>
  </colFields>
  <colItems count="4">
    <i>
      <x/>
    </i>
    <i>
      <x v="1"/>
    </i>
    <i>
      <x v="2"/>
    </i>
    <i t="grand">
      <x/>
    </i>
  </colItems>
  <dataFields count="1">
    <dataField name="Count of Account_Number" fld="2" subtotal="count" baseField="1" baseItem="0"/>
  </dataFields>
  <chartFormats count="3">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Account_Number"/>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Records]"/>
        <x15:activeTabTopLevelEntity name="[Branches]"/>
        <x15:activeTabTopLevelEntity name="[Tr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1AE246-E62E-44C1-9CE5-C50B506F7C4A}" name="PivotTable9" cacheId="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rans_Classfication">
  <location ref="D12:E18" firstHeaderRow="1" firstDataRow="1" firstDataCol="1"/>
  <pivotFields count="7">
    <pivotField showAll="0"/>
    <pivotField showAll="0"/>
    <pivotField showAll="0"/>
    <pivotField numFmtId="14" showAll="0"/>
    <pivotField axis="axisRow" dataField="1" showAll="0">
      <items count="6">
        <item x="0"/>
        <item x="2"/>
        <item x="3"/>
        <item x="4"/>
        <item x="1"/>
        <item t="default"/>
      </items>
    </pivotField>
    <pivotField showAll="0"/>
    <pivotField showAll="0"/>
  </pivotFields>
  <rowFields count="1">
    <field x="4"/>
  </rowFields>
  <rowItems count="6">
    <i>
      <x/>
    </i>
    <i>
      <x v="1"/>
    </i>
    <i>
      <x v="2"/>
    </i>
    <i>
      <x v="3"/>
    </i>
    <i>
      <x v="4"/>
    </i>
    <i t="grand">
      <x/>
    </i>
  </rowItems>
  <colItems count="1">
    <i/>
  </colItems>
  <dataFields count="1">
    <dataField name="Count of Transaction_Classificatio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A16382-FC3D-48DC-AEA6-76721B1C30AD}" name="PivotTable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Branche_Name">
  <location ref="A3:B14" firstHeaderRow="1" firstDataRow="1" firstDataCol="1"/>
  <pivotFields count="5">
    <pivotField axis="axisRow" showAll="0">
      <items count="11">
        <item x="0"/>
        <item x="1"/>
        <item x="2"/>
        <item x="3"/>
        <item x="4"/>
        <item x="5"/>
        <item x="6"/>
        <item x="7"/>
        <item x="8"/>
        <item x="9"/>
        <item t="default"/>
      </items>
    </pivotField>
    <pivotField dataField="1" showAll="0"/>
    <pivotField numFmtId="14"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Count of Transaction_Classification"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C3F78FE6-0EBB-4B36-8D38-304A70F38056}" autoFormatId="16" applyNumberFormats="0" applyBorderFormats="0" applyFontFormats="0" applyPatternFormats="0" applyAlignmentFormats="0" applyWidthHeightFormats="0">
  <queryTableRefresh nextId="8">
    <queryTableFields count="7">
      <queryTableField id="1" name="Transaction_id" tableColumnId="1"/>
      <queryTableField id="2" name="Account_Number" tableColumnId="2"/>
      <queryTableField id="3" name="Branch_Code" tableColumnId="3"/>
      <queryTableField id="4" name="Transaction_date" tableColumnId="4"/>
      <queryTableField id="5" name="Transaction_Classification" tableColumnId="5"/>
      <queryTableField id="6" name="Payment_method" tableColumnId="6"/>
      <queryTableField id="7" name="Amoun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CBE835F8-03C5-4C05-B53B-1A3E4F92838C}" autoFormatId="16" applyNumberFormats="0" applyBorderFormats="0" applyFontFormats="0" applyPatternFormats="0" applyAlignmentFormats="0" applyWidthHeightFormats="0">
  <queryTableRefresh nextId="10">
    <queryTableFields count="9">
      <queryTableField id="1" name="Account_Number" tableColumnId="1"/>
      <queryTableField id="2" name="First_Name" tableColumnId="2"/>
      <queryTableField id="3" name="Surname" tableColumnId="3"/>
      <queryTableField id="4" name="Account_Type" tableColumnId="4"/>
      <queryTableField id="5" name="Client_Address" tableColumnId="5"/>
      <queryTableField id="6" name="Date_Opened" tableColumnId="6"/>
      <queryTableField id="7" name="Account_Status" tableColumnId="7"/>
      <queryTableField id="8" name="Account_Balance" tableColumnId="8"/>
      <queryTableField id="9" name="Branch_cod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595229CF-CFB9-47C7-BE5B-49966A14AB41}" autoFormatId="16" applyNumberFormats="0" applyBorderFormats="0" applyFontFormats="0" applyPatternFormats="0" applyAlignmentFormats="0" applyWidthHeightFormats="0">
  <queryTableRefresh nextId="7">
    <queryTableFields count="6">
      <queryTableField id="1" name="Branch_Code" tableColumnId="1"/>
      <queryTableField id="2" name="Branch_Name" tableColumnId="2"/>
      <queryTableField id="3" name="Branch_Manager" tableColumnId="3"/>
      <queryTableField id="4" name="Branch_Address" tableColumnId="4"/>
      <queryTableField id="5" name="City" tableColumnId="5"/>
      <queryTableField id="6" name="Region"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794C0B06-C1E2-4BE0-A124-1183FFDFB512}" autoFormatId="16" applyNumberFormats="0" applyBorderFormats="0" applyFontFormats="0" applyPatternFormats="0" applyAlignmentFormats="0" applyWidthHeightFormats="0">
  <queryTableRefresh nextId="10">
    <queryTableFields count="5">
      <queryTableField id="2" name="Branch_Name" tableColumnId="2"/>
      <queryTableField id="4" name="Transaction_Classification" tableColumnId="4"/>
      <queryTableField id="5" name="Transaction_Date" tableColumnId="5"/>
      <queryTableField id="6" name="Amount" tableColumnId="6"/>
      <queryTableField id="3" name="Account_Number"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D0356569-82BD-44D7-9378-8618124C26CD}" sourceName="[Branches].[Branch_Name]">
  <pivotTables>
    <pivotTable tabId="1" name="PivotTable17"/>
    <pivotTable tabId="1" name="PivotTable7"/>
    <pivotTable tabId="1" name="PivotTable15"/>
    <pivotTable tabId="1" name="PivotTable10"/>
  </pivotTables>
  <data>
    <olap pivotCacheId="465462824">
      <levels count="2">
        <level uniqueName="[Branches].[Branch_Name].[(All)]" sourceCaption="(All)" count="0"/>
        <level uniqueName="[Branches].[Branch_Name].[Branch_Name]" sourceCaption="Branch_Name" count="10">
          <ranges>
            <range startItem="0">
              <i n="[Branches].[Branch_Name].&amp;[Ballito Branch]" c="Ballito Branch"/>
              <i n="[Branches].[Branch_Name].&amp;[Cape Town Central]" c="Cape Town Central"/>
              <i n="[Branches].[Branch_Name].&amp;[Chatsworth Branch]" c="Chatsworth Branch"/>
              <i n="[Branches].[Branch_Name].&amp;[Durban Central]" c="Durban Central"/>
              <i n="[Branches].[Branch_Name].&amp;[Johannesburg Main]" c="Johannesburg Main"/>
              <i n="[Branches].[Branch_Name].&amp;[Pinetown Branch]" c="Pinetown Branch"/>
              <i n="[Branches].[Branch_Name].&amp;[Pretoria Branch]" c="Pretoria Branch"/>
              <i n="[Branches].[Branch_Name].&amp;[Sandton Branch]" c="Sandton Branch"/>
              <i n="[Branches].[Branch_Name].&amp;[Umhlanga Branch]" c="Umhlanga Branch"/>
              <i n="[Branches].[Branch_Name].&amp;[Westville Branch]" c="Westville Branch" nd="1"/>
            </range>
          </ranges>
        </level>
      </levels>
      <selections count="1">
        <selection n="[Branches].[Branc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F00942-2BA2-4F10-B627-8674894B97A6}" sourceName="[Branches].[Region]">
  <pivotTables>
    <pivotTable tabId="1" name="PivotTable17"/>
    <pivotTable tabId="1" name="PivotTable7"/>
    <pivotTable tabId="1" name="PivotTable15"/>
  </pivotTables>
  <data>
    <olap pivotCacheId="465462824">
      <levels count="2">
        <level uniqueName="[Branches].[Region].[(All)]" sourceCaption="(All)" count="0"/>
        <level uniqueName="[Branches].[Region].[Region]" sourceCaption="Region" count="3">
          <ranges>
            <range startItem="0">
              <i n="[Branches].[Region].&amp;[Gauteng]" c="Gauteng"/>
              <i n="[Branches].[Region].&amp;[KZN]" c="KZN"/>
              <i n="[Branches].[Region].&amp;[Western Cape]" c="Western Cape"/>
            </range>
          </ranges>
        </level>
      </levels>
      <selections count="1">
        <selection n="[Branch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90D77F4-108B-4277-90A8-A2FEB70CE4F7}" sourceName="[Branches].[City]">
  <pivotTables>
    <pivotTable tabId="1" name="PivotTable17"/>
    <pivotTable tabId="1" name="PivotTable7"/>
    <pivotTable tabId="1" name="PivotTable15"/>
  </pivotTables>
  <data>
    <olap pivotCacheId="465462824">
      <levels count="2">
        <level uniqueName="[Branches].[City].[(All)]" sourceCaption="(All)" count="0"/>
        <level uniqueName="[Branches].[City].[City]" sourceCaption="City" count="8">
          <ranges>
            <range startItem="0">
              <i n="[Branches].[City].&amp;[Ballito]" c="Ballito"/>
              <i n="[Branches].[City].&amp;[Cape Town]" c="Cape Town"/>
              <i n="[Branches].[City].&amp;[Durban]" c="Durban"/>
              <i n="[Branches].[City].&amp;[Johannesburg]" c="Johannesburg"/>
              <i n="[Branches].[City].&amp;[Pinetown]" c="Pinetown"/>
              <i n="[Branches].[City].&amp;[Pretoria]" c="Pretoria"/>
              <i n="[Branches].[City].&amp;[Sandton]" c="Sandton"/>
              <i n="[Branches].[City].&amp;[Westville]" c="Westville" nd="1"/>
            </range>
          </ranges>
        </level>
      </levels>
      <selections count="1">
        <selection n="[Branches].[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011C9307-AD0F-40DA-B379-BABC56FD71F6}" sourceName="[ClientRecords].[Account_Type]">
  <pivotTables>
    <pivotTable tabId="1" name="PivotTable17"/>
    <pivotTable tabId="1" name="PivotTable7"/>
    <pivotTable tabId="1" name="PivotTable15"/>
    <pivotTable tabId="1" name="PivotTable10"/>
  </pivotTables>
  <data>
    <olap pivotCacheId="465462824">
      <levels count="2">
        <level uniqueName="[ClientRecords].[Account_Type].[(All)]" sourceCaption="(All)" count="0"/>
        <level uniqueName="[ClientRecords].[Account_Type].[Account_Type]" sourceCaption="Account_Type" count="3">
          <ranges>
            <range startItem="0">
              <i n="[ClientRecords].[Account_Type].&amp;[Business]" c="Business"/>
              <i n="[ClientRecords].[Account_Type].&amp;[Current]" c="Current"/>
              <i n="[ClientRecords].[Account_Type].&amp;[Savings]" c="Savings"/>
            </range>
          </ranges>
        </level>
      </levels>
      <selections count="1">
        <selection n="[ClientRecords].[Account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F46B774-7653-422B-8996-30F637E1FDC1}" sourceName="[Trans].[Payment_method]">
  <pivotTables>
    <pivotTable tabId="1" name="PivotTable17"/>
    <pivotTable tabId="1" name="PivotTable7"/>
    <pivotTable tabId="1" name="PivotTable15"/>
    <pivotTable tabId="1" name="PivotTable10"/>
  </pivotTables>
  <data>
    <olap pivotCacheId="465462824">
      <levels count="2">
        <level uniqueName="[Trans].[Payment_method].[(All)]" sourceCaption="(All)" count="0"/>
        <level uniqueName="[Trans].[Payment_method].[Payment_method]" sourceCaption="Payment_method" count="5">
          <ranges>
            <range startItem="0">
              <i n="[Trans].[Payment_method].&amp;[ATM]" c="ATM"/>
              <i n="[Trans].[Payment_method].&amp;[Card]" c="Card"/>
              <i n="[Trans].[Payment_method].&amp;[Cash]" c="Cash"/>
              <i n="[Trans].[Payment_method].&amp;[Cheque]" c="Cheque"/>
              <i n="[Trans].[Payment_method].&amp;[EFT]" c="EFT"/>
            </range>
          </ranges>
        </level>
      </levels>
      <selections count="1">
        <selection n="[Trans].[Payment_meth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Classification" xr10:uid="{F705DD82-6866-4850-83D5-FB2B592B5960}" sourceName="[Trans].[Transaction_Classification]">
  <pivotTables>
    <pivotTable tabId="1" name="PivotTable17"/>
    <pivotTable tabId="1" name="PivotTable7"/>
    <pivotTable tabId="1" name="PivotTable15"/>
    <pivotTable tabId="1" name="PivotTable10"/>
  </pivotTables>
  <data>
    <olap pivotCacheId="465462824">
      <levels count="2">
        <level uniqueName="[Trans].[Transaction_Classification].[(All)]" sourceCaption="(All)" count="0"/>
        <level uniqueName="[Trans].[Transaction_Classification].[Transaction_Classification]" sourceCaption="Transaction_Classification" count="5">
          <ranges>
            <range startItem="0">
              <i n="[Trans].[Transaction_Classification].&amp;[Deposit]" c="Deposit"/>
              <i n="[Trans].[Transaction_Classification].&amp;[Purchase]" c="Purchase"/>
              <i n="[Trans].[Transaction_Classification].&amp;[Transfer In]" c="Transfer In"/>
              <i n="[Trans].[Transaction_Classification].&amp;[Transfer Out]" c="Transfer Out"/>
              <i n="[Trans].[Transaction_Classification].&amp;[Withdrawal]" c="Withdrawal"/>
            </range>
          </ranges>
        </level>
      </levels>
      <selections count="1">
        <selection n="[Trans].[Transaction_Classifi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1" xr10:uid="{18A2981D-F8FB-49A3-8758-F6537A17DBD2}" cache="Slicer_Branch_Name" caption="Branch_Name" startItem="5" level="1" rowHeight="241300"/>
  <slicer name="Region" xr10:uid="{C62C6BEF-A128-42C2-8D1D-21D717C43338}" cache="Slicer_Region" caption="Region" level="1" rowHeight="241300"/>
  <slicer name="City" xr10:uid="{E1BEF747-8D32-4DE0-A521-0DF54D294F1C}" cache="Slicer_City" caption="City" level="1" rowHeight="241300"/>
  <slicer name="Account_Type" xr10:uid="{6BCDE0A6-7A39-4E8E-828C-14CEDB299097}" cache="Slicer_Account_Type" caption="Account_Type" level="1" rowHeight="241300"/>
  <slicer name="Payment_method" xr10:uid="{62B9DDEF-F244-43E8-9EE9-D974324D080C}" cache="Slicer_Payment_method" caption="Payment_method" level="1" rowHeight="241300"/>
  <slicer name="Transaction_Classification" xr10:uid="{24147CEA-68F7-4A51-82AA-382591630267}" cache="Slicer_Transaction_Classification" caption="Transaction_Classificat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485A93-18A5-4AC1-84D4-13EB5657A71A}" name="Trans" displayName="Trans" ref="A1:G21" tableType="queryTable" totalsRowShown="0">
  <autoFilter ref="A1:G21" xr:uid="{53485A93-18A5-4AC1-84D4-13EB5657A71A}"/>
  <tableColumns count="7">
    <tableColumn id="1" xr3:uid="{01FDEEC7-4CB4-4193-A288-88D5EA02D604}" uniqueName="1" name="Transaction_id" queryTableFieldId="1"/>
    <tableColumn id="2" xr3:uid="{381B40BA-760A-48F7-8C42-7B7A8875A3BE}" uniqueName="2" name="Account_Number" queryTableFieldId="2"/>
    <tableColumn id="3" xr3:uid="{38908DA9-B011-4C15-80B0-8AEAE8FA9CC6}" uniqueName="3" name="Branch_Code" queryTableFieldId="3"/>
    <tableColumn id="4" xr3:uid="{2A013FFA-9076-428B-9523-E5FAFBB0762B}" uniqueName="4" name="Transaction_date" queryTableFieldId="4" dataDxfId="1"/>
    <tableColumn id="5" xr3:uid="{3DC2A7F4-71FA-4FCF-BBF5-8328BBBDFD81}" uniqueName="5" name="Transaction_Classification" queryTableFieldId="5" dataDxfId="16"/>
    <tableColumn id="6" xr3:uid="{09265006-96FB-4C03-876B-779CCDF496F7}" uniqueName="6" name="Payment_method" queryTableFieldId="6" dataDxfId="15"/>
    <tableColumn id="7" xr3:uid="{A926C2F8-EAA3-4C4C-AC72-30DC4D183621}" uniqueName="7" name="Amoun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9CC459-19E7-4AB5-A75E-1B1D60B5CC8B}" name="ClientRecords" displayName="ClientRecords" ref="A1:I13" tableType="queryTable" totalsRowShown="0">
  <autoFilter ref="A1:I13" xr:uid="{EB9CC459-19E7-4AB5-A75E-1B1D60B5CC8B}"/>
  <tableColumns count="9">
    <tableColumn id="1" xr3:uid="{7FCB2042-11DA-4330-A8BE-76E6FC317EDB}" uniqueName="1" name="Account_Number" queryTableFieldId="1"/>
    <tableColumn id="2" xr3:uid="{5B3BD326-905B-4F2C-810A-A0AA5A4D5682}" uniqueName="2" name="First_Name" queryTableFieldId="2" dataDxfId="14"/>
    <tableColumn id="3" xr3:uid="{10A1471E-6C9C-48AA-9668-36FA3A1AA5F1}" uniqueName="3" name="Surname" queryTableFieldId="3" dataDxfId="13"/>
    <tableColumn id="4" xr3:uid="{C9C36F9F-F676-43D6-9C7C-C1318E44B110}" uniqueName="4" name="Account_Type" queryTableFieldId="4" dataDxfId="12"/>
    <tableColumn id="5" xr3:uid="{2E034E3B-A667-40B5-AE8D-0917E8A24761}" uniqueName="5" name="Client_Address" queryTableFieldId="5" dataDxfId="11"/>
    <tableColumn id="6" xr3:uid="{8E73E5D8-C1C6-41AC-A7D6-310228462710}" uniqueName="6" name="Date_Opened" queryTableFieldId="6" dataDxfId="0"/>
    <tableColumn id="7" xr3:uid="{27FABF45-8797-4168-A993-2059EA46CDEC}" uniqueName="7" name="Account_Status" queryTableFieldId="7" dataDxfId="10"/>
    <tableColumn id="8" xr3:uid="{E253CFEA-C5BB-45D2-9559-56BAA469FB33}" uniqueName="8" name="Account_Balance" queryTableFieldId="8"/>
    <tableColumn id="9" xr3:uid="{B1D81E73-0636-4FFB-8E3D-11616EA53A11}" uniqueName="9" name="Branch_code"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C42B7D-AF6F-434B-83F1-AEC2D0A30658}" name="Branches" displayName="Branches" ref="A1:F11" tableType="queryTable" totalsRowShown="0">
  <autoFilter ref="A1:F11" xr:uid="{B3C42B7D-AF6F-434B-83F1-AEC2D0A30658}"/>
  <tableColumns count="6">
    <tableColumn id="1" xr3:uid="{26A9012C-964D-49AA-A609-3F688A862E1D}" uniqueName="1" name="Branch_Code" queryTableFieldId="1"/>
    <tableColumn id="2" xr3:uid="{60FD5FFF-1C99-4582-8F23-4620EC1E626F}" uniqueName="2" name="Branch_Name" queryTableFieldId="2" dataDxfId="9"/>
    <tableColumn id="3" xr3:uid="{50FA24D2-581F-42C7-B774-470EDA163342}" uniqueName="3" name="Branch_Manager" queryTableFieldId="3" dataDxfId="8"/>
    <tableColumn id="4" xr3:uid="{5D4787F2-475B-4163-8BC0-3D756E4C87BE}" uniqueName="4" name="Branch_Address" queryTableFieldId="4" dataDxfId="7"/>
    <tableColumn id="5" xr3:uid="{822D96BC-A828-4333-B770-9D48080A4A82}" uniqueName="5" name="City" queryTableFieldId="5" dataDxfId="6"/>
    <tableColumn id="6" xr3:uid="{C3D07BB5-B79D-421F-93BF-AC912140E56F}" uniqueName="6" name="Region" queryTableFieldId="6" dataDxf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4F8FB-61D1-4B8D-AA07-A93086FAB559}" name="vw_Dashboard" displayName="vw_Dashboard" ref="A1:E21" tableType="queryTable" totalsRowShown="0">
  <autoFilter ref="A1:E21" xr:uid="{3F14F8FB-61D1-4B8D-AA07-A93086FAB559}"/>
  <tableColumns count="5">
    <tableColumn id="2" xr3:uid="{A0B5204C-A89E-48EF-A14C-1119CE84C7FD}" uniqueName="2" name="Branch_Name" queryTableFieldId="2" dataDxfId="4"/>
    <tableColumn id="4" xr3:uid="{F0CEEFB2-D228-44A4-A185-691F01C9136C}" uniqueName="4" name="Transaction_Classification" queryTableFieldId="4" dataDxfId="3"/>
    <tableColumn id="5" xr3:uid="{646C874D-EE14-4788-9DC2-6A66432526D8}" uniqueName="5" name="Transaction_Date" queryTableFieldId="5" dataDxfId="2"/>
    <tableColumn id="6" xr3:uid="{1749256E-1068-4DF9-837F-E137FB389FE4}" uniqueName="6" name="Amount" queryTableFieldId="6"/>
    <tableColumn id="3" xr3:uid="{E3D48D2F-D634-4AFB-9F75-10221142B220}" uniqueName="3" name="Account_Number"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86F00-9DC6-4E1F-92C9-423B67CD64E2}">
  <dimension ref="A1:G21"/>
  <sheetViews>
    <sheetView workbookViewId="0">
      <selection activeCell="G18" sqref="G18"/>
    </sheetView>
  </sheetViews>
  <sheetFormatPr defaultRowHeight="15" x14ac:dyDescent="0.25"/>
  <cols>
    <col min="1" max="1" width="16.28515625" bestFit="1" customWidth="1"/>
    <col min="2" max="2" width="18.85546875" bestFit="1" customWidth="1"/>
    <col min="3" max="3" width="14.85546875" bestFit="1" customWidth="1"/>
    <col min="4" max="4" width="18.5703125" bestFit="1" customWidth="1"/>
    <col min="5" max="5" width="26.5703125" bestFit="1" customWidth="1"/>
    <col min="6" max="6" width="19.28515625" bestFit="1" customWidth="1"/>
    <col min="7" max="7" width="10.42578125" bestFit="1" customWidth="1"/>
  </cols>
  <sheetData>
    <row r="1" spans="1:7" x14ac:dyDescent="0.25">
      <c r="A1" t="s">
        <v>105</v>
      </c>
      <c r="B1" t="s">
        <v>2</v>
      </c>
      <c r="C1" t="s">
        <v>0</v>
      </c>
      <c r="D1" t="s">
        <v>106</v>
      </c>
      <c r="E1" t="s">
        <v>3</v>
      </c>
      <c r="F1" t="s">
        <v>107</v>
      </c>
      <c r="G1" t="s">
        <v>5</v>
      </c>
    </row>
    <row r="2" spans="1:7" x14ac:dyDescent="0.25">
      <c r="A2">
        <v>1</v>
      </c>
      <c r="B2">
        <v>1001</v>
      </c>
      <c r="C2">
        <v>101</v>
      </c>
      <c r="D2" s="1">
        <v>46235</v>
      </c>
      <c r="E2" t="s">
        <v>7</v>
      </c>
      <c r="F2" t="s">
        <v>108</v>
      </c>
      <c r="G2">
        <v>5000</v>
      </c>
    </row>
    <row r="3" spans="1:7" x14ac:dyDescent="0.25">
      <c r="A3">
        <v>2</v>
      </c>
      <c r="B3">
        <v>1001</v>
      </c>
      <c r="C3">
        <v>101</v>
      </c>
      <c r="D3" s="1">
        <v>46239</v>
      </c>
      <c r="E3" t="s">
        <v>8</v>
      </c>
      <c r="F3" t="s">
        <v>109</v>
      </c>
      <c r="G3">
        <v>1000</v>
      </c>
    </row>
    <row r="4" spans="1:7" x14ac:dyDescent="0.25">
      <c r="A4">
        <v>3</v>
      </c>
      <c r="B4">
        <v>1002</v>
      </c>
      <c r="C4">
        <v>102</v>
      </c>
      <c r="D4" s="1">
        <v>46236</v>
      </c>
      <c r="E4" t="s">
        <v>7</v>
      </c>
      <c r="F4" t="s">
        <v>110</v>
      </c>
      <c r="G4">
        <v>10000</v>
      </c>
    </row>
    <row r="5" spans="1:7" x14ac:dyDescent="0.25">
      <c r="A5">
        <v>4</v>
      </c>
      <c r="B5">
        <v>1002</v>
      </c>
      <c r="C5">
        <v>102</v>
      </c>
      <c r="D5" s="1">
        <v>46244</v>
      </c>
      <c r="E5" t="s">
        <v>10</v>
      </c>
      <c r="F5" t="s">
        <v>111</v>
      </c>
      <c r="G5">
        <v>2500.5</v>
      </c>
    </row>
    <row r="6" spans="1:7" x14ac:dyDescent="0.25">
      <c r="A6">
        <v>5</v>
      </c>
      <c r="B6">
        <v>1003</v>
      </c>
      <c r="C6">
        <v>103</v>
      </c>
      <c r="D6" s="1">
        <v>46237</v>
      </c>
      <c r="E6" t="s">
        <v>7</v>
      </c>
      <c r="F6" t="s">
        <v>108</v>
      </c>
      <c r="G6">
        <v>1500</v>
      </c>
    </row>
    <row r="7" spans="1:7" x14ac:dyDescent="0.25">
      <c r="A7">
        <v>6</v>
      </c>
      <c r="B7">
        <v>1004</v>
      </c>
      <c r="C7">
        <v>104</v>
      </c>
      <c r="D7" s="1">
        <v>46223</v>
      </c>
      <c r="E7" t="s">
        <v>13</v>
      </c>
      <c r="F7" t="s">
        <v>110</v>
      </c>
      <c r="G7">
        <v>50000</v>
      </c>
    </row>
    <row r="8" spans="1:7" x14ac:dyDescent="0.25">
      <c r="A8">
        <v>7</v>
      </c>
      <c r="B8">
        <v>1004</v>
      </c>
      <c r="C8">
        <v>104</v>
      </c>
      <c r="D8" s="1">
        <v>46246</v>
      </c>
      <c r="E8" t="s">
        <v>8</v>
      </c>
      <c r="F8" t="s">
        <v>112</v>
      </c>
      <c r="G8">
        <v>20000</v>
      </c>
    </row>
    <row r="9" spans="1:7" x14ac:dyDescent="0.25">
      <c r="A9">
        <v>8</v>
      </c>
      <c r="B9">
        <v>1005</v>
      </c>
      <c r="C9">
        <v>105</v>
      </c>
      <c r="D9" s="1">
        <v>46245</v>
      </c>
      <c r="E9" t="s">
        <v>7</v>
      </c>
      <c r="F9" t="s">
        <v>108</v>
      </c>
      <c r="G9">
        <v>3000</v>
      </c>
    </row>
    <row r="10" spans="1:7" x14ac:dyDescent="0.25">
      <c r="A10">
        <v>9</v>
      </c>
      <c r="B10">
        <v>1006</v>
      </c>
      <c r="C10">
        <v>106</v>
      </c>
      <c r="D10" s="1">
        <v>46235</v>
      </c>
      <c r="E10" t="s">
        <v>10</v>
      </c>
      <c r="F10" t="s">
        <v>111</v>
      </c>
      <c r="G10">
        <v>450</v>
      </c>
    </row>
    <row r="11" spans="1:7" x14ac:dyDescent="0.25">
      <c r="A11">
        <v>10</v>
      </c>
      <c r="B11">
        <v>1007</v>
      </c>
      <c r="C11">
        <v>107</v>
      </c>
      <c r="D11" s="1">
        <v>46243</v>
      </c>
      <c r="E11" t="s">
        <v>7</v>
      </c>
      <c r="F11" t="s">
        <v>110</v>
      </c>
      <c r="G11">
        <v>12000</v>
      </c>
    </row>
    <row r="12" spans="1:7" x14ac:dyDescent="0.25">
      <c r="A12">
        <v>11</v>
      </c>
      <c r="B12">
        <v>1008</v>
      </c>
      <c r="C12">
        <v>108</v>
      </c>
      <c r="D12" s="1">
        <v>46242</v>
      </c>
      <c r="E12" t="s">
        <v>8</v>
      </c>
      <c r="F12" t="s">
        <v>109</v>
      </c>
      <c r="G12">
        <v>2000</v>
      </c>
    </row>
    <row r="13" spans="1:7" x14ac:dyDescent="0.25">
      <c r="A13">
        <v>12</v>
      </c>
      <c r="B13">
        <v>1009</v>
      </c>
      <c r="C13">
        <v>109</v>
      </c>
      <c r="D13" s="1">
        <v>46241</v>
      </c>
      <c r="E13" t="s">
        <v>7</v>
      </c>
      <c r="F13" t="s">
        <v>108</v>
      </c>
      <c r="G13">
        <v>4000</v>
      </c>
    </row>
    <row r="14" spans="1:7" x14ac:dyDescent="0.25">
      <c r="A14">
        <v>13</v>
      </c>
      <c r="B14">
        <v>1010</v>
      </c>
      <c r="C14">
        <v>110</v>
      </c>
      <c r="D14" s="1">
        <v>46240</v>
      </c>
      <c r="E14" t="s">
        <v>20</v>
      </c>
      <c r="F14" t="s">
        <v>110</v>
      </c>
      <c r="G14">
        <v>75000</v>
      </c>
    </row>
    <row r="15" spans="1:7" x14ac:dyDescent="0.25">
      <c r="A15">
        <v>14</v>
      </c>
      <c r="B15">
        <v>1011</v>
      </c>
      <c r="C15">
        <v>101</v>
      </c>
      <c r="D15" s="1">
        <v>46246</v>
      </c>
      <c r="E15" t="s">
        <v>7</v>
      </c>
      <c r="F15" t="s">
        <v>108</v>
      </c>
      <c r="G15">
        <v>5000</v>
      </c>
    </row>
    <row r="16" spans="1:7" x14ac:dyDescent="0.25">
      <c r="A16">
        <v>15</v>
      </c>
      <c r="B16">
        <v>1012</v>
      </c>
      <c r="C16">
        <v>102</v>
      </c>
      <c r="D16" s="1">
        <v>46247</v>
      </c>
      <c r="E16" t="s">
        <v>10</v>
      </c>
      <c r="F16" t="s">
        <v>111</v>
      </c>
      <c r="G16">
        <v>1200</v>
      </c>
    </row>
    <row r="17" spans="1:7" x14ac:dyDescent="0.25">
      <c r="A17">
        <v>16</v>
      </c>
      <c r="B17">
        <v>1002</v>
      </c>
      <c r="C17">
        <v>101</v>
      </c>
      <c r="D17" s="1">
        <v>46248</v>
      </c>
      <c r="E17" t="s">
        <v>8</v>
      </c>
      <c r="F17" t="s">
        <v>109</v>
      </c>
      <c r="G17">
        <v>3000</v>
      </c>
    </row>
    <row r="18" spans="1:7" x14ac:dyDescent="0.25">
      <c r="A18">
        <v>17</v>
      </c>
      <c r="B18">
        <v>1004</v>
      </c>
      <c r="C18">
        <v>104</v>
      </c>
      <c r="D18" s="1">
        <v>46249</v>
      </c>
      <c r="E18" t="s">
        <v>10</v>
      </c>
      <c r="F18" t="s">
        <v>111</v>
      </c>
      <c r="G18">
        <v>5500.75</v>
      </c>
    </row>
    <row r="19" spans="1:7" x14ac:dyDescent="0.25">
      <c r="A19">
        <v>18</v>
      </c>
      <c r="B19">
        <v>1007</v>
      </c>
      <c r="C19">
        <v>101</v>
      </c>
      <c r="D19" s="1">
        <v>46250</v>
      </c>
      <c r="E19" t="s">
        <v>7</v>
      </c>
      <c r="F19" t="s">
        <v>110</v>
      </c>
      <c r="G19">
        <v>8000</v>
      </c>
    </row>
    <row r="20" spans="1:7" x14ac:dyDescent="0.25">
      <c r="A20">
        <v>19</v>
      </c>
      <c r="B20">
        <v>1010</v>
      </c>
      <c r="C20">
        <v>104</v>
      </c>
      <c r="D20" s="1">
        <v>46251</v>
      </c>
      <c r="E20" t="s">
        <v>7</v>
      </c>
      <c r="F20" t="s">
        <v>110</v>
      </c>
      <c r="G20">
        <v>30000</v>
      </c>
    </row>
    <row r="21" spans="1:7" x14ac:dyDescent="0.25">
      <c r="A21">
        <v>20</v>
      </c>
      <c r="B21">
        <v>1001</v>
      </c>
      <c r="C21">
        <v>101</v>
      </c>
      <c r="D21" s="1">
        <v>46252</v>
      </c>
      <c r="E21" t="s">
        <v>10</v>
      </c>
      <c r="F21" t="s">
        <v>111</v>
      </c>
      <c r="G21">
        <v>750.25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B16A-458C-4E35-9A02-C7573AEA2D71}">
  <dimension ref="A1:I13"/>
  <sheetViews>
    <sheetView workbookViewId="0">
      <selection activeCell="B13" sqref="B13"/>
    </sheetView>
  </sheetViews>
  <sheetFormatPr defaultRowHeight="15" x14ac:dyDescent="0.25"/>
  <cols>
    <col min="1" max="1" width="18.85546875" bestFit="1" customWidth="1"/>
    <col min="2" max="2" width="13.42578125" bestFit="1" customWidth="1"/>
    <col min="3" max="3" width="11.140625" bestFit="1" customWidth="1"/>
    <col min="4" max="4" width="15.85546875" bestFit="1" customWidth="1"/>
    <col min="5" max="5" width="18" bestFit="1" customWidth="1"/>
    <col min="6" max="6" width="15.7109375" bestFit="1" customWidth="1"/>
    <col min="7" max="7" width="17" bestFit="1" customWidth="1"/>
    <col min="8" max="8" width="18.42578125" bestFit="1" customWidth="1"/>
    <col min="9" max="9" width="14.5703125" bestFit="1" customWidth="1"/>
  </cols>
  <sheetData>
    <row r="1" spans="1:9" x14ac:dyDescent="0.25">
      <c r="A1" t="s">
        <v>2</v>
      </c>
      <c r="B1" t="s">
        <v>56</v>
      </c>
      <c r="C1" t="s">
        <v>57</v>
      </c>
      <c r="D1" t="s">
        <v>58</v>
      </c>
      <c r="E1" t="s">
        <v>59</v>
      </c>
      <c r="F1" t="s">
        <v>60</v>
      </c>
      <c r="G1" t="s">
        <v>61</v>
      </c>
      <c r="H1" t="s">
        <v>62</v>
      </c>
      <c r="I1" t="s">
        <v>63</v>
      </c>
    </row>
    <row r="2" spans="1:9" x14ac:dyDescent="0.25">
      <c r="A2">
        <v>1001</v>
      </c>
      <c r="B2" t="s">
        <v>64</v>
      </c>
      <c r="C2" t="s">
        <v>65</v>
      </c>
      <c r="D2" t="s">
        <v>66</v>
      </c>
      <c r="E2" t="s">
        <v>67</v>
      </c>
      <c r="F2" s="1">
        <v>44941</v>
      </c>
      <c r="G2" t="s">
        <v>68</v>
      </c>
      <c r="H2">
        <v>15000.5</v>
      </c>
      <c r="I2">
        <v>109</v>
      </c>
    </row>
    <row r="3" spans="1:9" x14ac:dyDescent="0.25">
      <c r="A3">
        <v>1002</v>
      </c>
      <c r="B3" t="s">
        <v>69</v>
      </c>
      <c r="C3" t="s">
        <v>70</v>
      </c>
      <c r="D3" t="s">
        <v>71</v>
      </c>
      <c r="E3" t="s">
        <v>72</v>
      </c>
      <c r="F3" s="1">
        <v>44732</v>
      </c>
      <c r="G3" t="s">
        <v>68</v>
      </c>
      <c r="H3">
        <v>45200</v>
      </c>
      <c r="I3">
        <v>105</v>
      </c>
    </row>
    <row r="4" spans="1:9" x14ac:dyDescent="0.25">
      <c r="A4">
        <v>1003</v>
      </c>
      <c r="B4" t="s">
        <v>73</v>
      </c>
      <c r="C4" t="s">
        <v>74</v>
      </c>
      <c r="D4" t="s">
        <v>66</v>
      </c>
      <c r="E4" t="s">
        <v>75</v>
      </c>
      <c r="F4" s="1">
        <v>44995</v>
      </c>
      <c r="G4" t="s">
        <v>68</v>
      </c>
      <c r="H4">
        <v>2300.75</v>
      </c>
      <c r="I4">
        <v>102</v>
      </c>
    </row>
    <row r="5" spans="1:9" x14ac:dyDescent="0.25">
      <c r="A5">
        <v>1004</v>
      </c>
      <c r="B5" t="s">
        <v>76</v>
      </c>
      <c r="C5" t="s">
        <v>77</v>
      </c>
      <c r="D5" t="s">
        <v>78</v>
      </c>
      <c r="E5" t="s">
        <v>79</v>
      </c>
      <c r="F5" s="1">
        <v>44505</v>
      </c>
      <c r="G5" t="s">
        <v>68</v>
      </c>
      <c r="H5">
        <v>125000</v>
      </c>
      <c r="I5">
        <v>104</v>
      </c>
    </row>
    <row r="6" spans="1:9" x14ac:dyDescent="0.25">
      <c r="A6">
        <v>1005</v>
      </c>
      <c r="B6" t="s">
        <v>80</v>
      </c>
      <c r="C6" t="s">
        <v>81</v>
      </c>
      <c r="D6" t="s">
        <v>66</v>
      </c>
      <c r="E6" t="s">
        <v>82</v>
      </c>
      <c r="F6" s="1">
        <v>45303</v>
      </c>
      <c r="G6" t="s">
        <v>68</v>
      </c>
      <c r="H6">
        <v>8750.2999999999993</v>
      </c>
      <c r="I6">
        <v>103</v>
      </c>
    </row>
    <row r="7" spans="1:9" x14ac:dyDescent="0.25">
      <c r="A7">
        <v>1006</v>
      </c>
      <c r="B7" t="s">
        <v>83</v>
      </c>
      <c r="C7" t="s">
        <v>84</v>
      </c>
      <c r="D7" t="s">
        <v>71</v>
      </c>
      <c r="E7" t="s">
        <v>85</v>
      </c>
      <c r="F7" s="1">
        <v>44834</v>
      </c>
      <c r="G7" t="s">
        <v>86</v>
      </c>
      <c r="H7">
        <v>5600</v>
      </c>
      <c r="I7">
        <v>108</v>
      </c>
    </row>
    <row r="8" spans="1:9" x14ac:dyDescent="0.25">
      <c r="A8">
        <v>1007</v>
      </c>
      <c r="B8" t="s">
        <v>87</v>
      </c>
      <c r="C8" t="s">
        <v>88</v>
      </c>
      <c r="D8" t="s">
        <v>66</v>
      </c>
      <c r="E8" t="s">
        <v>89</v>
      </c>
      <c r="F8" s="1">
        <v>45129</v>
      </c>
      <c r="G8" t="s">
        <v>68</v>
      </c>
      <c r="H8">
        <v>34200.9</v>
      </c>
      <c r="I8">
        <v>106</v>
      </c>
    </row>
    <row r="9" spans="1:9" x14ac:dyDescent="0.25">
      <c r="A9">
        <v>1008</v>
      </c>
      <c r="B9" t="s">
        <v>90</v>
      </c>
      <c r="C9" t="s">
        <v>91</v>
      </c>
      <c r="D9" t="s">
        <v>71</v>
      </c>
      <c r="E9" t="s">
        <v>92</v>
      </c>
      <c r="F9" s="1">
        <v>45323</v>
      </c>
      <c r="G9" t="s">
        <v>68</v>
      </c>
      <c r="H9">
        <v>18500</v>
      </c>
      <c r="I9">
        <v>104</v>
      </c>
    </row>
    <row r="10" spans="1:9" x14ac:dyDescent="0.25">
      <c r="A10">
        <v>1009</v>
      </c>
      <c r="B10" t="s">
        <v>93</v>
      </c>
      <c r="C10" t="s">
        <v>94</v>
      </c>
      <c r="D10" t="s">
        <v>66</v>
      </c>
      <c r="E10" t="s">
        <v>95</v>
      </c>
      <c r="F10" s="1">
        <v>44334</v>
      </c>
      <c r="G10" t="s">
        <v>68</v>
      </c>
      <c r="H10">
        <v>9500.25</v>
      </c>
      <c r="I10">
        <v>107</v>
      </c>
    </row>
    <row r="11" spans="1:9" x14ac:dyDescent="0.25">
      <c r="A11">
        <v>1010</v>
      </c>
      <c r="B11" t="s">
        <v>96</v>
      </c>
      <c r="C11" t="s">
        <v>97</v>
      </c>
      <c r="D11" t="s">
        <v>78</v>
      </c>
      <c r="E11" t="s">
        <v>98</v>
      </c>
      <c r="F11" s="1">
        <v>44176</v>
      </c>
      <c r="G11" t="s">
        <v>68</v>
      </c>
      <c r="H11">
        <v>250000</v>
      </c>
      <c r="I11">
        <v>101</v>
      </c>
    </row>
    <row r="12" spans="1:9" x14ac:dyDescent="0.25">
      <c r="A12">
        <v>1011</v>
      </c>
      <c r="B12" t="s">
        <v>99</v>
      </c>
      <c r="C12" t="s">
        <v>100</v>
      </c>
      <c r="D12" t="s">
        <v>66</v>
      </c>
      <c r="E12" t="s">
        <v>101</v>
      </c>
      <c r="F12" s="1">
        <v>45209</v>
      </c>
      <c r="G12" t="s">
        <v>68</v>
      </c>
      <c r="H12">
        <v>11200</v>
      </c>
      <c r="I12">
        <v>105</v>
      </c>
    </row>
    <row r="13" spans="1:9" x14ac:dyDescent="0.25">
      <c r="A13">
        <v>1012</v>
      </c>
      <c r="B13" t="s">
        <v>102</v>
      </c>
      <c r="C13" t="s">
        <v>103</v>
      </c>
      <c r="D13" t="s">
        <v>71</v>
      </c>
      <c r="E13" t="s">
        <v>104</v>
      </c>
      <c r="F13" s="1">
        <v>45366</v>
      </c>
      <c r="G13" t="s">
        <v>68</v>
      </c>
      <c r="H13">
        <v>67800.45</v>
      </c>
      <c r="I13">
        <v>109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001E-304E-4DCE-9041-EBAFE5605CBC}">
  <dimension ref="A1:F11"/>
  <sheetViews>
    <sheetView workbookViewId="0">
      <selection activeCell="D33" sqref="D33"/>
    </sheetView>
  </sheetViews>
  <sheetFormatPr defaultRowHeight="15" x14ac:dyDescent="0.25"/>
  <cols>
    <col min="1" max="1" width="14.85546875" bestFit="1" customWidth="1"/>
    <col min="2" max="2" width="18.42578125" bestFit="1" customWidth="1"/>
    <col min="3" max="3" width="18.28515625" bestFit="1" customWidth="1"/>
    <col min="4" max="4" width="19.85546875" bestFit="1" customWidth="1"/>
    <col min="5" max="5" width="13.42578125" bestFit="1" customWidth="1"/>
    <col min="6" max="6" width="13.5703125" bestFit="1" customWidth="1"/>
  </cols>
  <sheetData>
    <row r="1" spans="1:6" x14ac:dyDescent="0.25">
      <c r="A1" t="s">
        <v>0</v>
      </c>
      <c r="B1" t="s">
        <v>1</v>
      </c>
      <c r="C1" t="s">
        <v>21</v>
      </c>
      <c r="D1" t="s">
        <v>22</v>
      </c>
      <c r="E1" t="s">
        <v>23</v>
      </c>
      <c r="F1" t="s">
        <v>24</v>
      </c>
    </row>
    <row r="2" spans="1:6" x14ac:dyDescent="0.25">
      <c r="A2">
        <v>101</v>
      </c>
      <c r="B2" t="s">
        <v>6</v>
      </c>
      <c r="C2" t="s">
        <v>25</v>
      </c>
      <c r="D2" t="s">
        <v>26</v>
      </c>
      <c r="E2" t="s">
        <v>27</v>
      </c>
      <c r="F2" t="s">
        <v>28</v>
      </c>
    </row>
    <row r="3" spans="1:6" x14ac:dyDescent="0.25">
      <c r="A3">
        <v>102</v>
      </c>
      <c r="B3" t="s">
        <v>9</v>
      </c>
      <c r="C3" t="s">
        <v>29</v>
      </c>
      <c r="D3" t="s">
        <v>30</v>
      </c>
      <c r="E3" t="s">
        <v>27</v>
      </c>
      <c r="F3" t="s">
        <v>28</v>
      </c>
    </row>
    <row r="4" spans="1:6" x14ac:dyDescent="0.25">
      <c r="A4">
        <v>103</v>
      </c>
      <c r="B4" t="s">
        <v>11</v>
      </c>
      <c r="C4" t="s">
        <v>31</v>
      </c>
      <c r="D4" t="s">
        <v>32</v>
      </c>
      <c r="E4" t="s">
        <v>33</v>
      </c>
      <c r="F4" t="s">
        <v>28</v>
      </c>
    </row>
    <row r="5" spans="1:6" x14ac:dyDescent="0.25">
      <c r="A5">
        <v>104</v>
      </c>
      <c r="B5" t="s">
        <v>12</v>
      </c>
      <c r="C5" t="s">
        <v>34</v>
      </c>
      <c r="D5" t="s">
        <v>35</v>
      </c>
      <c r="E5" t="s">
        <v>36</v>
      </c>
      <c r="F5" t="s">
        <v>37</v>
      </c>
    </row>
    <row r="6" spans="1:6" x14ac:dyDescent="0.25">
      <c r="A6">
        <v>105</v>
      </c>
      <c r="B6" t="s">
        <v>14</v>
      </c>
      <c r="C6" t="s">
        <v>38</v>
      </c>
      <c r="D6" t="s">
        <v>39</v>
      </c>
      <c r="E6" t="s">
        <v>40</v>
      </c>
      <c r="F6" t="s">
        <v>37</v>
      </c>
    </row>
    <row r="7" spans="1:6" x14ac:dyDescent="0.25">
      <c r="A7">
        <v>106</v>
      </c>
      <c r="B7" t="s">
        <v>15</v>
      </c>
      <c r="C7" t="s">
        <v>41</v>
      </c>
      <c r="D7" t="s">
        <v>42</v>
      </c>
      <c r="E7" t="s">
        <v>43</v>
      </c>
      <c r="F7" t="s">
        <v>44</v>
      </c>
    </row>
    <row r="8" spans="1:6" x14ac:dyDescent="0.25">
      <c r="A8">
        <v>107</v>
      </c>
      <c r="B8" t="s">
        <v>16</v>
      </c>
      <c r="C8" t="s">
        <v>45</v>
      </c>
      <c r="D8" t="s">
        <v>46</v>
      </c>
      <c r="E8" t="s">
        <v>47</v>
      </c>
      <c r="F8" t="s">
        <v>37</v>
      </c>
    </row>
    <row r="9" spans="1:6" x14ac:dyDescent="0.25">
      <c r="A9">
        <v>108</v>
      </c>
      <c r="B9" t="s">
        <v>17</v>
      </c>
      <c r="C9" t="s">
        <v>48</v>
      </c>
      <c r="D9" t="s">
        <v>49</v>
      </c>
      <c r="E9" t="s">
        <v>50</v>
      </c>
      <c r="F9" t="s">
        <v>28</v>
      </c>
    </row>
    <row r="10" spans="1:6" x14ac:dyDescent="0.25">
      <c r="A10">
        <v>109</v>
      </c>
      <c r="B10" t="s">
        <v>18</v>
      </c>
      <c r="C10" t="s">
        <v>51</v>
      </c>
      <c r="D10" t="s">
        <v>52</v>
      </c>
      <c r="E10" t="s">
        <v>27</v>
      </c>
      <c r="F10" t="s">
        <v>28</v>
      </c>
    </row>
    <row r="11" spans="1:6" x14ac:dyDescent="0.25">
      <c r="A11">
        <v>110</v>
      </c>
      <c r="B11" t="s">
        <v>19</v>
      </c>
      <c r="C11" t="s">
        <v>53</v>
      </c>
      <c r="D11" t="s">
        <v>54</v>
      </c>
      <c r="E11" t="s">
        <v>55</v>
      </c>
      <c r="F11"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433CA-03AE-4EFD-90D6-3A51BD47A2F7}">
  <dimension ref="A1:E21"/>
  <sheetViews>
    <sheetView workbookViewId="0">
      <selection activeCell="E16" sqref="E16"/>
    </sheetView>
  </sheetViews>
  <sheetFormatPr defaultRowHeight="15" x14ac:dyDescent="0.25"/>
  <cols>
    <col min="1" max="1" width="18.42578125" bestFit="1" customWidth="1"/>
    <col min="2" max="2" width="26.5703125" bestFit="1" customWidth="1"/>
    <col min="3" max="3" width="18.7109375" bestFit="1" customWidth="1"/>
    <col min="4" max="4" width="10.42578125" bestFit="1" customWidth="1"/>
    <col min="5" max="5" width="18.85546875" bestFit="1" customWidth="1"/>
    <col min="6" max="6" width="10.42578125" bestFit="1" customWidth="1"/>
  </cols>
  <sheetData>
    <row r="1" spans="1:5" x14ac:dyDescent="0.25">
      <c r="A1" t="s">
        <v>1</v>
      </c>
      <c r="B1" t="s">
        <v>3</v>
      </c>
      <c r="C1" t="s">
        <v>4</v>
      </c>
      <c r="D1" t="s">
        <v>5</v>
      </c>
      <c r="E1" t="s">
        <v>2</v>
      </c>
    </row>
    <row r="2" spans="1:5" x14ac:dyDescent="0.25">
      <c r="A2" t="s">
        <v>17</v>
      </c>
      <c r="B2" t="s">
        <v>8</v>
      </c>
      <c r="C2" s="1">
        <v>46242</v>
      </c>
      <c r="D2">
        <v>2000</v>
      </c>
      <c r="E2">
        <v>1008</v>
      </c>
    </row>
    <row r="3" spans="1:5" x14ac:dyDescent="0.25">
      <c r="A3" t="s">
        <v>15</v>
      </c>
      <c r="B3" t="s">
        <v>10</v>
      </c>
      <c r="C3" s="1">
        <v>46235</v>
      </c>
      <c r="D3">
        <v>450</v>
      </c>
      <c r="E3">
        <v>1006</v>
      </c>
    </row>
    <row r="4" spans="1:5" x14ac:dyDescent="0.25">
      <c r="A4" t="s">
        <v>18</v>
      </c>
      <c r="B4" t="s">
        <v>7</v>
      </c>
      <c r="C4" s="1">
        <v>46241</v>
      </c>
      <c r="D4">
        <v>4000</v>
      </c>
      <c r="E4">
        <v>1009</v>
      </c>
    </row>
    <row r="5" spans="1:5" x14ac:dyDescent="0.25">
      <c r="A5" t="s">
        <v>6</v>
      </c>
      <c r="B5" t="s">
        <v>7</v>
      </c>
      <c r="C5" s="1">
        <v>46235</v>
      </c>
      <c r="D5">
        <v>5000</v>
      </c>
      <c r="E5">
        <v>1001</v>
      </c>
    </row>
    <row r="6" spans="1:5" x14ac:dyDescent="0.25">
      <c r="A6" t="s">
        <v>6</v>
      </c>
      <c r="B6" t="s">
        <v>7</v>
      </c>
      <c r="C6" s="1">
        <v>46246</v>
      </c>
      <c r="D6">
        <v>5000</v>
      </c>
      <c r="E6">
        <v>1011</v>
      </c>
    </row>
    <row r="7" spans="1:5" x14ac:dyDescent="0.25">
      <c r="A7" t="s">
        <v>6</v>
      </c>
      <c r="B7" t="s">
        <v>7</v>
      </c>
      <c r="C7" s="1">
        <v>46250</v>
      </c>
      <c r="D7">
        <v>8000</v>
      </c>
      <c r="E7">
        <v>1007</v>
      </c>
    </row>
    <row r="8" spans="1:5" x14ac:dyDescent="0.25">
      <c r="A8" t="s">
        <v>6</v>
      </c>
      <c r="B8" t="s">
        <v>10</v>
      </c>
      <c r="C8" s="1">
        <v>46252</v>
      </c>
      <c r="D8">
        <v>750.25</v>
      </c>
      <c r="E8">
        <v>1001</v>
      </c>
    </row>
    <row r="9" spans="1:5" x14ac:dyDescent="0.25">
      <c r="A9" t="s">
        <v>6</v>
      </c>
      <c r="B9" t="s">
        <v>8</v>
      </c>
      <c r="C9" s="1">
        <v>46239</v>
      </c>
      <c r="D9">
        <v>1000</v>
      </c>
      <c r="E9">
        <v>1001</v>
      </c>
    </row>
    <row r="10" spans="1:5" x14ac:dyDescent="0.25">
      <c r="A10" t="s">
        <v>6</v>
      </c>
      <c r="B10" t="s">
        <v>8</v>
      </c>
      <c r="C10" s="1">
        <v>46248</v>
      </c>
      <c r="D10">
        <v>3000</v>
      </c>
      <c r="E10">
        <v>1002</v>
      </c>
    </row>
    <row r="11" spans="1:5" x14ac:dyDescent="0.25">
      <c r="A11" t="s">
        <v>12</v>
      </c>
      <c r="B11" t="s">
        <v>7</v>
      </c>
      <c r="C11" s="1">
        <v>46251</v>
      </c>
      <c r="D11">
        <v>30000</v>
      </c>
      <c r="E11">
        <v>1010</v>
      </c>
    </row>
    <row r="12" spans="1:5" x14ac:dyDescent="0.25">
      <c r="A12" t="s">
        <v>12</v>
      </c>
      <c r="B12" t="s">
        <v>10</v>
      </c>
      <c r="C12" s="1">
        <v>46249</v>
      </c>
      <c r="D12">
        <v>5500.75</v>
      </c>
      <c r="E12">
        <v>1004</v>
      </c>
    </row>
    <row r="13" spans="1:5" x14ac:dyDescent="0.25">
      <c r="A13" t="s">
        <v>12</v>
      </c>
      <c r="B13" t="s">
        <v>13</v>
      </c>
      <c r="C13" s="1">
        <v>46223</v>
      </c>
      <c r="D13">
        <v>50000</v>
      </c>
      <c r="E13">
        <v>1004</v>
      </c>
    </row>
    <row r="14" spans="1:5" x14ac:dyDescent="0.25">
      <c r="A14" t="s">
        <v>12</v>
      </c>
      <c r="B14" t="s">
        <v>8</v>
      </c>
      <c r="C14" s="1">
        <v>46246</v>
      </c>
      <c r="D14">
        <v>20000</v>
      </c>
      <c r="E14">
        <v>1004</v>
      </c>
    </row>
    <row r="15" spans="1:5" x14ac:dyDescent="0.25">
      <c r="A15" t="s">
        <v>11</v>
      </c>
      <c r="B15" t="s">
        <v>7</v>
      </c>
      <c r="C15" s="1">
        <v>46237</v>
      </c>
      <c r="D15">
        <v>1500</v>
      </c>
      <c r="E15">
        <v>1003</v>
      </c>
    </row>
    <row r="16" spans="1:5" x14ac:dyDescent="0.25">
      <c r="A16" t="s">
        <v>16</v>
      </c>
      <c r="B16" t="s">
        <v>7</v>
      </c>
      <c r="C16" s="1">
        <v>46243</v>
      </c>
      <c r="D16">
        <v>12000</v>
      </c>
      <c r="E16">
        <v>1007</v>
      </c>
    </row>
    <row r="17" spans="1:5" x14ac:dyDescent="0.25">
      <c r="A17" t="s">
        <v>14</v>
      </c>
      <c r="B17" t="s">
        <v>7</v>
      </c>
      <c r="C17" s="1">
        <v>46245</v>
      </c>
      <c r="D17">
        <v>3000</v>
      </c>
      <c r="E17">
        <v>1005</v>
      </c>
    </row>
    <row r="18" spans="1:5" x14ac:dyDescent="0.25">
      <c r="A18" t="s">
        <v>9</v>
      </c>
      <c r="B18" t="s">
        <v>7</v>
      </c>
      <c r="C18" s="1">
        <v>46236</v>
      </c>
      <c r="D18">
        <v>10000</v>
      </c>
      <c r="E18">
        <v>1002</v>
      </c>
    </row>
    <row r="19" spans="1:5" x14ac:dyDescent="0.25">
      <c r="A19" t="s">
        <v>9</v>
      </c>
      <c r="B19" t="s">
        <v>10</v>
      </c>
      <c r="C19" s="1">
        <v>46244</v>
      </c>
      <c r="D19">
        <v>2500.5</v>
      </c>
      <c r="E19">
        <v>1002</v>
      </c>
    </row>
    <row r="20" spans="1:5" x14ac:dyDescent="0.25">
      <c r="A20" t="s">
        <v>9</v>
      </c>
      <c r="B20" t="s">
        <v>10</v>
      </c>
      <c r="C20" s="1">
        <v>46247</v>
      </c>
      <c r="D20">
        <v>1200</v>
      </c>
      <c r="E20">
        <v>1012</v>
      </c>
    </row>
    <row r="21" spans="1:5" x14ac:dyDescent="0.25">
      <c r="A21" t="s">
        <v>19</v>
      </c>
      <c r="B21" t="s">
        <v>20</v>
      </c>
      <c r="C21" s="1">
        <v>46240</v>
      </c>
      <c r="D21">
        <v>75000</v>
      </c>
      <c r="E21">
        <v>1010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C5861-518B-47FC-A106-0077D6C61CCB}">
  <dimension ref="A3:M56"/>
  <sheetViews>
    <sheetView topLeftCell="A25" workbookViewId="0">
      <selection activeCell="J28" sqref="J28"/>
    </sheetView>
  </sheetViews>
  <sheetFormatPr defaultRowHeight="15" x14ac:dyDescent="0.25"/>
  <cols>
    <col min="1" max="1" width="24.85546875" bestFit="1" customWidth="1"/>
    <col min="2" max="2" width="32.5703125" bestFit="1" customWidth="1"/>
    <col min="3" max="3" width="9" bestFit="1" customWidth="1"/>
    <col min="4" max="4" width="13.7109375" bestFit="1" customWidth="1"/>
    <col min="5" max="5" width="32.5703125" bestFit="1" customWidth="1"/>
    <col min="6" max="6" width="11.42578125" bestFit="1" customWidth="1"/>
    <col min="7" max="7" width="18.42578125" bestFit="1" customWidth="1"/>
    <col min="8" max="8" width="23.42578125" bestFit="1" customWidth="1"/>
    <col min="9" max="9" width="13.7109375" bestFit="1" customWidth="1"/>
    <col min="10" max="11" width="18.42578125" bestFit="1" customWidth="1"/>
    <col min="13" max="13" width="13.140625" bestFit="1" customWidth="1"/>
    <col min="14" max="14" width="18.42578125" bestFit="1" customWidth="1"/>
    <col min="15" max="15" width="8.7109375" bestFit="1" customWidth="1"/>
    <col min="16" max="16" width="11.28515625" bestFit="1" customWidth="1"/>
  </cols>
  <sheetData>
    <row r="3" spans="1:13" x14ac:dyDescent="0.25">
      <c r="A3" s="2" t="s">
        <v>118</v>
      </c>
      <c r="B3" t="s">
        <v>115</v>
      </c>
      <c r="D3" s="2" t="s">
        <v>140</v>
      </c>
      <c r="E3" t="s">
        <v>135</v>
      </c>
      <c r="G3" s="2" t="s">
        <v>140</v>
      </c>
      <c r="H3" t="s">
        <v>116</v>
      </c>
      <c r="J3" s="2" t="s">
        <v>136</v>
      </c>
      <c r="K3" s="2" t="s">
        <v>134</v>
      </c>
    </row>
    <row r="4" spans="1:13" x14ac:dyDescent="0.25">
      <c r="A4" s="3" t="s">
        <v>17</v>
      </c>
      <c r="B4" s="6">
        <v>1</v>
      </c>
      <c r="D4" s="3" t="s">
        <v>7</v>
      </c>
      <c r="E4" s="6">
        <v>9</v>
      </c>
      <c r="G4" s="3" t="s">
        <v>7</v>
      </c>
      <c r="H4" s="6">
        <v>78500</v>
      </c>
      <c r="J4" s="2" t="s">
        <v>113</v>
      </c>
      <c r="K4" t="s">
        <v>68</v>
      </c>
      <c r="L4" t="s">
        <v>86</v>
      </c>
      <c r="M4" t="s">
        <v>114</v>
      </c>
    </row>
    <row r="5" spans="1:13" x14ac:dyDescent="0.25">
      <c r="A5" s="3" t="s">
        <v>15</v>
      </c>
      <c r="B5" s="6">
        <v>1</v>
      </c>
      <c r="D5" s="3" t="s">
        <v>10</v>
      </c>
      <c r="E5" s="6">
        <v>5</v>
      </c>
      <c r="G5" s="3" t="s">
        <v>10</v>
      </c>
      <c r="H5" s="6">
        <v>10401.5</v>
      </c>
      <c r="J5" s="3" t="s">
        <v>90</v>
      </c>
      <c r="K5" s="6">
        <v>1</v>
      </c>
      <c r="L5" s="6"/>
      <c r="M5" s="6">
        <v>1</v>
      </c>
    </row>
    <row r="6" spans="1:13" x14ac:dyDescent="0.25">
      <c r="A6" s="3" t="s">
        <v>18</v>
      </c>
      <c r="B6" s="6">
        <v>1</v>
      </c>
      <c r="D6" s="3" t="s">
        <v>13</v>
      </c>
      <c r="E6" s="6">
        <v>1</v>
      </c>
      <c r="G6" s="3" t="s">
        <v>8</v>
      </c>
      <c r="H6" s="6">
        <v>26000</v>
      </c>
      <c r="J6" s="3" t="s">
        <v>64</v>
      </c>
      <c r="K6" s="6">
        <v>1</v>
      </c>
      <c r="L6" s="6"/>
      <c r="M6" s="6">
        <v>1</v>
      </c>
    </row>
    <row r="7" spans="1:13" x14ac:dyDescent="0.25">
      <c r="A7" s="3" t="s">
        <v>6</v>
      </c>
      <c r="B7" s="6">
        <v>6</v>
      </c>
      <c r="D7" s="3" t="s">
        <v>20</v>
      </c>
      <c r="E7" s="6">
        <v>1</v>
      </c>
      <c r="G7" s="3" t="s">
        <v>114</v>
      </c>
      <c r="H7" s="6">
        <v>114901.5</v>
      </c>
      <c r="J7" s="3" t="s">
        <v>83</v>
      </c>
      <c r="K7" s="6"/>
      <c r="L7" s="6">
        <v>1</v>
      </c>
      <c r="M7" s="6">
        <v>1</v>
      </c>
    </row>
    <row r="8" spans="1:13" x14ac:dyDescent="0.25">
      <c r="A8" s="3" t="s">
        <v>12</v>
      </c>
      <c r="B8" s="6">
        <v>4</v>
      </c>
      <c r="D8" s="3" t="s">
        <v>8</v>
      </c>
      <c r="E8" s="6">
        <v>4</v>
      </c>
      <c r="J8" s="3" t="s">
        <v>80</v>
      </c>
      <c r="K8" s="6">
        <v>1</v>
      </c>
      <c r="L8" s="6"/>
      <c r="M8" s="6">
        <v>1</v>
      </c>
    </row>
    <row r="9" spans="1:13" x14ac:dyDescent="0.25">
      <c r="A9" s="3" t="s">
        <v>11</v>
      </c>
      <c r="B9" s="6">
        <v>1</v>
      </c>
      <c r="D9" s="3" t="s">
        <v>114</v>
      </c>
      <c r="E9" s="6">
        <v>20</v>
      </c>
      <c r="J9" s="3" t="s">
        <v>73</v>
      </c>
      <c r="K9" s="6">
        <v>1</v>
      </c>
      <c r="L9" s="6"/>
      <c r="M9" s="6">
        <v>1</v>
      </c>
    </row>
    <row r="10" spans="1:13" x14ac:dyDescent="0.25">
      <c r="A10" s="3" t="s">
        <v>16</v>
      </c>
      <c r="B10" s="6">
        <v>1</v>
      </c>
      <c r="J10" s="3" t="s">
        <v>102</v>
      </c>
      <c r="K10" s="6">
        <v>1</v>
      </c>
      <c r="L10" s="6"/>
      <c r="M10" s="6">
        <v>1</v>
      </c>
    </row>
    <row r="11" spans="1:13" x14ac:dyDescent="0.25">
      <c r="A11" s="3" t="s">
        <v>14</v>
      </c>
      <c r="B11" s="6">
        <v>1</v>
      </c>
      <c r="G11" s="2" t="s">
        <v>1</v>
      </c>
      <c r="H11" t="s">
        <v>117</v>
      </c>
      <c r="J11" s="3" t="s">
        <v>76</v>
      </c>
      <c r="K11" s="6">
        <v>1</v>
      </c>
      <c r="L11" s="6"/>
      <c r="M11" s="6">
        <v>1</v>
      </c>
    </row>
    <row r="12" spans="1:13" x14ac:dyDescent="0.25">
      <c r="A12" s="3" t="s">
        <v>9</v>
      </c>
      <c r="B12" s="6">
        <v>3</v>
      </c>
      <c r="D12" s="2" t="s">
        <v>139</v>
      </c>
      <c r="E12" t="s">
        <v>115</v>
      </c>
      <c r="G12" s="3" t="s">
        <v>17</v>
      </c>
      <c r="H12" s="6">
        <v>1006</v>
      </c>
      <c r="J12" s="3" t="s">
        <v>96</v>
      </c>
      <c r="K12" s="6">
        <v>1</v>
      </c>
      <c r="L12" s="6"/>
      <c r="M12" s="6">
        <v>1</v>
      </c>
    </row>
    <row r="13" spans="1:13" x14ac:dyDescent="0.25">
      <c r="A13" s="3" t="s">
        <v>19</v>
      </c>
      <c r="B13" s="6">
        <v>1</v>
      </c>
      <c r="D13" s="3" t="s">
        <v>7</v>
      </c>
      <c r="E13" s="6">
        <v>9</v>
      </c>
      <c r="G13" s="3" t="s">
        <v>15</v>
      </c>
      <c r="H13" s="6">
        <v>1007</v>
      </c>
      <c r="J13" s="3" t="s">
        <v>87</v>
      </c>
      <c r="K13" s="6">
        <v>1</v>
      </c>
      <c r="L13" s="6"/>
      <c r="M13" s="6">
        <v>1</v>
      </c>
    </row>
    <row r="14" spans="1:13" x14ac:dyDescent="0.25">
      <c r="A14" s="3" t="s">
        <v>114</v>
      </c>
      <c r="B14" s="6">
        <v>20</v>
      </c>
      <c r="D14" s="3" t="s">
        <v>10</v>
      </c>
      <c r="E14" s="6">
        <v>5</v>
      </c>
      <c r="G14" s="3" t="s">
        <v>18</v>
      </c>
      <c r="H14" s="6">
        <v>2013</v>
      </c>
      <c r="J14" s="3" t="s">
        <v>93</v>
      </c>
      <c r="K14" s="6">
        <v>1</v>
      </c>
      <c r="L14" s="6"/>
      <c r="M14" s="6">
        <v>1</v>
      </c>
    </row>
    <row r="15" spans="1:13" x14ac:dyDescent="0.25">
      <c r="D15" s="3" t="s">
        <v>13</v>
      </c>
      <c r="E15" s="6">
        <v>1</v>
      </c>
      <c r="G15" s="3" t="s">
        <v>6</v>
      </c>
      <c r="H15" s="6">
        <v>1010</v>
      </c>
      <c r="J15" s="3" t="s">
        <v>69</v>
      </c>
      <c r="K15" s="6">
        <v>1</v>
      </c>
      <c r="L15" s="6"/>
      <c r="M15" s="6">
        <v>1</v>
      </c>
    </row>
    <row r="16" spans="1:13" x14ac:dyDescent="0.25">
      <c r="D16" s="3" t="s">
        <v>20</v>
      </c>
      <c r="E16" s="6">
        <v>1</v>
      </c>
      <c r="G16" s="3" t="s">
        <v>12</v>
      </c>
      <c r="H16" s="6">
        <v>2012</v>
      </c>
      <c r="J16" s="3" t="s">
        <v>99</v>
      </c>
      <c r="K16" s="6">
        <v>1</v>
      </c>
      <c r="L16" s="6"/>
      <c r="M16" s="6">
        <v>1</v>
      </c>
    </row>
    <row r="17" spans="1:13" x14ac:dyDescent="0.25">
      <c r="D17" s="3" t="s">
        <v>8</v>
      </c>
      <c r="E17" s="6">
        <v>4</v>
      </c>
      <c r="G17" s="3" t="s">
        <v>11</v>
      </c>
      <c r="H17" s="6">
        <v>1005</v>
      </c>
      <c r="J17" s="3" t="s">
        <v>114</v>
      </c>
      <c r="K17" s="6">
        <v>11</v>
      </c>
      <c r="L17" s="6">
        <v>1</v>
      </c>
      <c r="M17" s="6">
        <v>12</v>
      </c>
    </row>
    <row r="18" spans="1:13" x14ac:dyDescent="0.25">
      <c r="D18" s="3" t="s">
        <v>114</v>
      </c>
      <c r="E18" s="6">
        <v>20</v>
      </c>
      <c r="G18" s="3" t="s">
        <v>16</v>
      </c>
      <c r="H18" s="6">
        <v>1009</v>
      </c>
    </row>
    <row r="19" spans="1:13" x14ac:dyDescent="0.25">
      <c r="G19" s="3" t="s">
        <v>14</v>
      </c>
      <c r="H19" s="6">
        <v>2013</v>
      </c>
    </row>
    <row r="20" spans="1:13" x14ac:dyDescent="0.25">
      <c r="G20" s="3" t="s">
        <v>9</v>
      </c>
      <c r="H20" s="6">
        <v>1003</v>
      </c>
      <c r="J20" s="2" t="s">
        <v>140</v>
      </c>
      <c r="K20" t="s">
        <v>137</v>
      </c>
    </row>
    <row r="21" spans="1:13" x14ac:dyDescent="0.25">
      <c r="A21" s="2" t="s">
        <v>135</v>
      </c>
      <c r="B21" s="2" t="s">
        <v>134</v>
      </c>
      <c r="G21" s="3" t="s">
        <v>114</v>
      </c>
      <c r="H21" s="6">
        <v>12078</v>
      </c>
      <c r="J21" s="3" t="s">
        <v>7</v>
      </c>
      <c r="K21" s="6">
        <v>8722.2222222222226</v>
      </c>
    </row>
    <row r="22" spans="1:13" x14ac:dyDescent="0.25">
      <c r="A22" s="2" t="s">
        <v>113</v>
      </c>
      <c r="B22" t="s">
        <v>37</v>
      </c>
      <c r="C22" t="s">
        <v>28</v>
      </c>
      <c r="D22" t="s">
        <v>44</v>
      </c>
      <c r="E22" t="s">
        <v>114</v>
      </c>
      <c r="J22" s="3" t="s">
        <v>10</v>
      </c>
      <c r="K22" s="6">
        <v>2080.3000000000002</v>
      </c>
    </row>
    <row r="23" spans="1:13" x14ac:dyDescent="0.25">
      <c r="A23" s="3" t="s">
        <v>50</v>
      </c>
      <c r="B23" s="6"/>
      <c r="C23" s="6">
        <v>1</v>
      </c>
      <c r="D23" s="6"/>
      <c r="E23" s="6">
        <v>1</v>
      </c>
      <c r="J23" s="3" t="s">
        <v>8</v>
      </c>
      <c r="K23" s="6">
        <v>6500</v>
      </c>
    </row>
    <row r="24" spans="1:13" x14ac:dyDescent="0.25">
      <c r="A24" s="3" t="s">
        <v>43</v>
      </c>
      <c r="B24" s="6"/>
      <c r="C24" s="6"/>
      <c r="D24" s="6">
        <v>1</v>
      </c>
      <c r="E24" s="6">
        <v>1</v>
      </c>
      <c r="G24" s="2" t="s">
        <v>1</v>
      </c>
      <c r="H24" t="s">
        <v>138</v>
      </c>
      <c r="J24" s="3" t="s">
        <v>114</v>
      </c>
      <c r="K24" s="6">
        <v>6383.416666666667</v>
      </c>
    </row>
    <row r="25" spans="1:13" x14ac:dyDescent="0.25">
      <c r="A25" s="3" t="s">
        <v>27</v>
      </c>
      <c r="B25" s="6"/>
      <c r="C25" s="6">
        <v>4</v>
      </c>
      <c r="D25" s="6"/>
      <c r="E25" s="6">
        <v>4</v>
      </c>
      <c r="G25" s="3" t="s">
        <v>17</v>
      </c>
      <c r="H25" s="6">
        <v>5600</v>
      </c>
    </row>
    <row r="26" spans="1:13" x14ac:dyDescent="0.25">
      <c r="A26" s="3" t="s">
        <v>36</v>
      </c>
      <c r="B26" s="6">
        <v>2</v>
      </c>
      <c r="C26" s="6"/>
      <c r="D26" s="6"/>
      <c r="E26" s="6">
        <v>2</v>
      </c>
      <c r="G26" s="3" t="s">
        <v>15</v>
      </c>
      <c r="H26" s="6">
        <v>34200.9</v>
      </c>
    </row>
    <row r="27" spans="1:13" x14ac:dyDescent="0.25">
      <c r="A27" s="3" t="s">
        <v>33</v>
      </c>
      <c r="B27" s="6"/>
      <c r="C27" s="6">
        <v>1</v>
      </c>
      <c r="D27" s="6"/>
      <c r="E27" s="6">
        <v>1</v>
      </c>
      <c r="G27" s="3" t="s">
        <v>18</v>
      </c>
      <c r="H27" s="6">
        <v>82800.95</v>
      </c>
    </row>
    <row r="28" spans="1:13" x14ac:dyDescent="0.25">
      <c r="A28" s="3" t="s">
        <v>47</v>
      </c>
      <c r="B28" s="6">
        <v>1</v>
      </c>
      <c r="C28" s="6"/>
      <c r="D28" s="6"/>
      <c r="E28" s="6">
        <v>1</v>
      </c>
      <c r="G28" s="3" t="s">
        <v>6</v>
      </c>
      <c r="H28" s="6">
        <v>250000</v>
      </c>
    </row>
    <row r="29" spans="1:13" x14ac:dyDescent="0.25">
      <c r="A29" s="3" t="s">
        <v>40</v>
      </c>
      <c r="B29" s="6">
        <v>2</v>
      </c>
      <c r="C29" s="6"/>
      <c r="D29" s="6"/>
      <c r="E29" s="6">
        <v>2</v>
      </c>
      <c r="G29" s="3" t="s">
        <v>12</v>
      </c>
      <c r="H29" s="6">
        <v>143500</v>
      </c>
    </row>
    <row r="30" spans="1:13" x14ac:dyDescent="0.25">
      <c r="A30" s="3" t="s">
        <v>114</v>
      </c>
      <c r="B30" s="6">
        <v>5</v>
      </c>
      <c r="C30" s="6">
        <v>6</v>
      </c>
      <c r="D30" s="6">
        <v>1</v>
      </c>
      <c r="E30" s="6">
        <v>12</v>
      </c>
      <c r="G30" s="3" t="s">
        <v>11</v>
      </c>
      <c r="H30" s="6">
        <v>8750.2999999999993</v>
      </c>
    </row>
    <row r="31" spans="1:13" x14ac:dyDescent="0.25">
      <c r="G31" s="3" t="s">
        <v>16</v>
      </c>
      <c r="H31" s="6">
        <v>9500.25</v>
      </c>
    </row>
    <row r="32" spans="1:13" x14ac:dyDescent="0.25">
      <c r="G32" s="3" t="s">
        <v>14</v>
      </c>
      <c r="H32" s="6">
        <v>56400</v>
      </c>
    </row>
    <row r="33" spans="1:8" x14ac:dyDescent="0.25">
      <c r="G33" s="3" t="s">
        <v>9</v>
      </c>
      <c r="H33" s="6">
        <v>2300.75</v>
      </c>
    </row>
    <row r="34" spans="1:8" x14ac:dyDescent="0.25">
      <c r="G34" s="3" t="s">
        <v>114</v>
      </c>
      <c r="H34" s="6">
        <v>593053.15</v>
      </c>
    </row>
    <row r="37" spans="1:8" x14ac:dyDescent="0.25">
      <c r="A37" s="2" t="s">
        <v>135</v>
      </c>
      <c r="B37" s="2" t="s">
        <v>134</v>
      </c>
    </row>
    <row r="38" spans="1:8" x14ac:dyDescent="0.25">
      <c r="A38" s="2" t="s">
        <v>113</v>
      </c>
      <c r="B38" t="s">
        <v>7</v>
      </c>
      <c r="C38" t="s">
        <v>10</v>
      </c>
      <c r="D38" t="s">
        <v>13</v>
      </c>
      <c r="E38" t="s">
        <v>20</v>
      </c>
      <c r="F38" t="s">
        <v>8</v>
      </c>
      <c r="G38" t="s">
        <v>114</v>
      </c>
    </row>
    <row r="39" spans="1:8" x14ac:dyDescent="0.25">
      <c r="A39" s="3" t="s">
        <v>119</v>
      </c>
      <c r="B39" s="6"/>
      <c r="C39" s="6"/>
      <c r="D39" s="6"/>
      <c r="E39" s="6"/>
      <c r="F39" s="6"/>
      <c r="G39" s="6"/>
    </row>
    <row r="40" spans="1:8" x14ac:dyDescent="0.25">
      <c r="A40" s="4" t="s">
        <v>120</v>
      </c>
      <c r="B40" s="6">
        <v>1</v>
      </c>
      <c r="C40" s="6"/>
      <c r="D40" s="6"/>
      <c r="E40" s="6">
        <v>1</v>
      </c>
      <c r="F40" s="6"/>
      <c r="G40" s="6">
        <v>2</v>
      </c>
    </row>
    <row r="41" spans="1:8" x14ac:dyDescent="0.25">
      <c r="A41" s="3" t="s">
        <v>121</v>
      </c>
      <c r="B41" s="6"/>
      <c r="C41" s="6"/>
      <c r="D41" s="6"/>
      <c r="E41" s="6"/>
      <c r="F41" s="6"/>
      <c r="G41" s="6"/>
    </row>
    <row r="42" spans="1:8" x14ac:dyDescent="0.25">
      <c r="A42" s="4" t="s">
        <v>122</v>
      </c>
      <c r="B42" s="6">
        <v>1</v>
      </c>
      <c r="C42" s="6"/>
      <c r="D42" s="6"/>
      <c r="E42" s="6"/>
      <c r="F42" s="6"/>
      <c r="G42" s="6">
        <v>1</v>
      </c>
    </row>
    <row r="43" spans="1:8" x14ac:dyDescent="0.25">
      <c r="A43" s="4" t="s">
        <v>123</v>
      </c>
      <c r="B43" s="6"/>
      <c r="C43" s="6">
        <v>1</v>
      </c>
      <c r="D43" s="6">
        <v>1</v>
      </c>
      <c r="E43" s="6"/>
      <c r="F43" s="6">
        <v>1</v>
      </c>
      <c r="G43" s="6">
        <v>3</v>
      </c>
    </row>
    <row r="44" spans="1:8" x14ac:dyDescent="0.25">
      <c r="A44" s="3" t="s">
        <v>124</v>
      </c>
      <c r="B44" s="6"/>
      <c r="C44" s="6"/>
      <c r="D44" s="6"/>
      <c r="E44" s="6"/>
      <c r="F44" s="6"/>
      <c r="G44" s="6"/>
    </row>
    <row r="45" spans="1:8" x14ac:dyDescent="0.25">
      <c r="A45" s="4" t="s">
        <v>125</v>
      </c>
      <c r="B45" s="6">
        <v>1</v>
      </c>
      <c r="C45" s="6">
        <v>1</v>
      </c>
      <c r="D45" s="6"/>
      <c r="E45" s="6"/>
      <c r="F45" s="6">
        <v>1</v>
      </c>
      <c r="G45" s="6">
        <v>3</v>
      </c>
    </row>
    <row r="46" spans="1:8" x14ac:dyDescent="0.25">
      <c r="A46" s="4" t="s">
        <v>126</v>
      </c>
      <c r="B46" s="6"/>
      <c r="C46" s="6">
        <v>1</v>
      </c>
      <c r="D46" s="6"/>
      <c r="E46" s="6"/>
      <c r="F46" s="6"/>
      <c r="G46" s="6">
        <v>1</v>
      </c>
    </row>
    <row r="47" spans="1:8" x14ac:dyDescent="0.25">
      <c r="A47" s="3" t="s">
        <v>127</v>
      </c>
      <c r="B47" s="6"/>
      <c r="C47" s="6"/>
      <c r="D47" s="6"/>
      <c r="E47" s="6"/>
      <c r="F47" s="6"/>
      <c r="G47" s="6"/>
    </row>
    <row r="48" spans="1:8" x14ac:dyDescent="0.25">
      <c r="A48" s="4" t="s">
        <v>128</v>
      </c>
      <c r="B48" s="6">
        <v>1</v>
      </c>
      <c r="C48" s="6">
        <v>1</v>
      </c>
      <c r="D48" s="6"/>
      <c r="E48" s="6"/>
      <c r="F48" s="6">
        <v>1</v>
      </c>
      <c r="G48" s="6">
        <v>3</v>
      </c>
    </row>
    <row r="49" spans="1:7" x14ac:dyDescent="0.25">
      <c r="A49" s="4" t="s">
        <v>129</v>
      </c>
      <c r="B49" s="6">
        <v>1</v>
      </c>
      <c r="C49" s="6"/>
      <c r="D49" s="6"/>
      <c r="E49" s="6"/>
      <c r="F49" s="6"/>
      <c r="G49" s="6">
        <v>1</v>
      </c>
    </row>
    <row r="50" spans="1:7" x14ac:dyDescent="0.25">
      <c r="A50" s="4" t="s">
        <v>130</v>
      </c>
      <c r="B50" s="6">
        <v>2</v>
      </c>
      <c r="C50" s="6"/>
      <c r="D50" s="6"/>
      <c r="E50" s="6"/>
      <c r="F50" s="6"/>
      <c r="G50" s="6">
        <v>2</v>
      </c>
    </row>
    <row r="51" spans="1:7" x14ac:dyDescent="0.25">
      <c r="A51" s="4" t="s">
        <v>131</v>
      </c>
      <c r="B51" s="6">
        <v>1</v>
      </c>
      <c r="C51" s="6"/>
      <c r="D51" s="6"/>
      <c r="E51" s="6"/>
      <c r="F51" s="6"/>
      <c r="G51" s="6">
        <v>1</v>
      </c>
    </row>
    <row r="52" spans="1:7" x14ac:dyDescent="0.25">
      <c r="A52" s="3" t="s">
        <v>132</v>
      </c>
      <c r="B52" s="6"/>
      <c r="C52" s="6"/>
      <c r="D52" s="6"/>
      <c r="E52" s="6"/>
      <c r="F52" s="6"/>
      <c r="G52" s="6"/>
    </row>
    <row r="53" spans="1:7" x14ac:dyDescent="0.25">
      <c r="A53" s="4" t="s">
        <v>128</v>
      </c>
      <c r="B53" s="6">
        <v>1</v>
      </c>
      <c r="C53" s="6"/>
      <c r="D53" s="6"/>
      <c r="E53" s="6"/>
      <c r="F53" s="6"/>
      <c r="G53" s="6">
        <v>1</v>
      </c>
    </row>
    <row r="54" spans="1:7" x14ac:dyDescent="0.25">
      <c r="A54" s="4" t="s">
        <v>133</v>
      </c>
      <c r="B54" s="6"/>
      <c r="C54" s="6"/>
      <c r="D54" s="6"/>
      <c r="E54" s="6"/>
      <c r="F54" s="6">
        <v>1</v>
      </c>
      <c r="G54" s="6">
        <v>1</v>
      </c>
    </row>
    <row r="55" spans="1:7" x14ac:dyDescent="0.25">
      <c r="A55" s="4" t="s">
        <v>129</v>
      </c>
      <c r="B55" s="6"/>
      <c r="C55" s="6">
        <v>1</v>
      </c>
      <c r="D55" s="6"/>
      <c r="E55" s="6"/>
      <c r="F55" s="6"/>
      <c r="G55" s="6">
        <v>1</v>
      </c>
    </row>
    <row r="56" spans="1:7" x14ac:dyDescent="0.25">
      <c r="A56" s="3" t="s">
        <v>114</v>
      </c>
      <c r="B56" s="6">
        <v>9</v>
      </c>
      <c r="C56" s="6">
        <v>5</v>
      </c>
      <c r="D56" s="6">
        <v>1</v>
      </c>
      <c r="E56" s="6">
        <v>1</v>
      </c>
      <c r="F56" s="6">
        <v>4</v>
      </c>
      <c r="G56" s="6">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3A236-5C11-4C85-98DA-DBB525EC62EA}">
  <dimension ref="Y14:Y24"/>
  <sheetViews>
    <sheetView tabSelected="1" zoomScaleNormal="100" workbookViewId="0">
      <selection activeCell="AA15" sqref="AA15"/>
    </sheetView>
  </sheetViews>
  <sheetFormatPr defaultRowHeight="15" x14ac:dyDescent="0.25"/>
  <cols>
    <col min="1" max="24" width="9.140625" style="5"/>
    <col min="25" max="25" width="10" style="5" hidden="1" customWidth="1"/>
    <col min="26" max="16384" width="9.140625" style="5"/>
  </cols>
  <sheetData>
    <row r="14" spans="25:25" x14ac:dyDescent="0.25">
      <c r="Y14" s="5">
        <f>GETPIVOTDATA("Amount",Pivot_Tables!$G$3)</f>
        <v>114901.5</v>
      </c>
    </row>
    <row r="15" spans="25:25" x14ac:dyDescent="0.25">
      <c r="Y15" s="7">
        <f>GETPIVOTDATA("Amount",Pivot_Tables!$J$20)</f>
        <v>6383.416666666667</v>
      </c>
    </row>
    <row r="18" spans="25:25" x14ac:dyDescent="0.25">
      <c r="Y18" s="5">
        <f>GETPIVOTDATA("Amount",Pivot_Tables!$G$3,"Transaction_Classification","Deposit")</f>
        <v>78500</v>
      </c>
    </row>
    <row r="20" spans="25:25" x14ac:dyDescent="0.25">
      <c r="Y20" s="5">
        <f>GETPIVOTDATA("Transaction_Classification",Pivot_Tables!$D$12)</f>
        <v>20</v>
      </c>
    </row>
    <row r="22" spans="25:25" x14ac:dyDescent="0.25">
      <c r="Y22" s="5">
        <f>GETPIVOTDATA("First_Name",Pivot_Tables!$J$3)</f>
        <v>12</v>
      </c>
    </row>
    <row r="24" spans="25:25" x14ac:dyDescent="0.25">
      <c r="Y24" s="5">
        <f>GETPIVOTDATA("[Measures].[Sum of Account_Balance]",Pivot_Tables!$G$24)</f>
        <v>593053.15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51D270-528A-46C0-8894-7A33D8451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Trans</vt:lpstr>
      <vt:lpstr>ClientRecords</vt:lpstr>
      <vt:lpstr>Branches</vt:lpstr>
      <vt:lpstr>vw_Dashboard</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22257906</dc:creator>
  <cp:lastModifiedBy>22257906</cp:lastModifiedBy>
  <dcterms:created xsi:type="dcterms:W3CDTF">2026-08-25T11:03:26Z</dcterms:created>
  <dcterms:modified xsi:type="dcterms:W3CDTF">2026-08-26T08:53:00Z</dcterms:modified>
</cp:coreProperties>
</file>